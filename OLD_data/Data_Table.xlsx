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tor\OneDrive - Università degli Studi di Padova\Desktop\GIT_Repos\Entropy\Analysis\"/>
    </mc:Choice>
  </mc:AlternateContent>
  <xr:revisionPtr revIDLastSave="0" documentId="13_ncr:1_{45CF6954-D62E-4CE0-A746-E80A35DDFD2B}" xr6:coauthVersionLast="47" xr6:coauthVersionMax="47" xr10:uidLastSave="{00000000-0000-0000-0000-000000000000}"/>
  <bookViews>
    <workbookView xWindow="760" yWindow="760" windowWidth="10890" windowHeight="9720" xr2:uid="{4B140E9A-41C0-4168-89EF-A4A70B088C0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F40" i="1"/>
  <c r="F39" i="1"/>
  <c r="F38" i="1"/>
  <c r="F36" i="1"/>
  <c r="F35" i="1"/>
  <c r="F34" i="1"/>
  <c r="F33" i="1"/>
  <c r="F32" i="1"/>
  <c r="F30" i="1"/>
  <c r="F29" i="1"/>
  <c r="F28" i="1"/>
  <c r="F27" i="1"/>
  <c r="F25" i="1"/>
  <c r="F24" i="1"/>
  <c r="F21" i="1"/>
  <c r="F20" i="1"/>
  <c r="F17" i="1"/>
  <c r="F14" i="1"/>
  <c r="F3" i="1"/>
  <c r="F2" i="1"/>
</calcChain>
</file>

<file path=xl/sharedStrings.xml><?xml version="1.0" encoding="utf-8"?>
<sst xmlns="http://schemas.openxmlformats.org/spreadsheetml/2006/main" count="77" uniqueCount="77">
  <si>
    <t>M01</t>
  </si>
  <si>
    <t>M02</t>
  </si>
  <si>
    <t>M03</t>
  </si>
  <si>
    <t>M04</t>
  </si>
  <si>
    <t>M05</t>
  </si>
  <si>
    <t>M06</t>
  </si>
  <si>
    <t>M07</t>
  </si>
  <si>
    <t>M09</t>
  </si>
  <si>
    <t>M10</t>
  </si>
  <si>
    <t>M11</t>
  </si>
  <si>
    <t>M12</t>
  </si>
  <si>
    <t>M13</t>
  </si>
  <si>
    <t>M14</t>
  </si>
  <si>
    <t>M16</t>
  </si>
  <si>
    <t>M17</t>
  </si>
  <si>
    <t>M18</t>
  </si>
  <si>
    <t>M19</t>
  </si>
  <si>
    <t>M20</t>
  </si>
  <si>
    <t>M22</t>
  </si>
  <si>
    <t>M23</t>
  </si>
  <si>
    <t>M24</t>
  </si>
  <si>
    <t>M25</t>
  </si>
  <si>
    <t>M27</t>
  </si>
  <si>
    <t>M28</t>
  </si>
  <si>
    <t>M29</t>
  </si>
  <si>
    <t>M31</t>
  </si>
  <si>
    <t>M32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</si>
  <si>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</si>
  <si>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</si>
  <si>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</si>
  <si>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</si>
  <si>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</si>
  <si>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</si>
  <si>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</si>
  <si>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</si>
  <si>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</si>
  <si>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</si>
  <si>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</si>
  <si>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</si>
  <si>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</si>
  <si>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</si>
  <si>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</si>
  <si>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</si>
  <si>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</si>
  <si>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</si>
  <si>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Età</t>
  </si>
  <si>
    <t>TMT_BA</t>
  </si>
  <si>
    <t>MFPI_Flessibilità</t>
  </si>
  <si>
    <t>MFPI_Inflessibilità</t>
  </si>
  <si>
    <t>ApEN_Ant_alpha</t>
  </si>
  <si>
    <t>ApEN_Post_alpha</t>
  </si>
  <si>
    <t>ApEN_Ant_beta</t>
  </si>
  <si>
    <t>ApEN_Post_beta</t>
  </si>
  <si>
    <t>ApEN_Ant_delta</t>
  </si>
  <si>
    <t>ApEN_Post_delta</t>
  </si>
  <si>
    <t>ApEN_Ant_theta</t>
  </si>
  <si>
    <t>ApEN_Post_theta</t>
  </si>
  <si>
    <t>MSE_Ant_alpha</t>
  </si>
  <si>
    <t>MSE_Post_alpha</t>
  </si>
  <si>
    <t>MSE_Ant_beta</t>
  </si>
  <si>
    <t>MSE_Post_beta</t>
  </si>
  <si>
    <t>MSE_Ant_delta</t>
  </si>
  <si>
    <t>MSE_Post_delta</t>
  </si>
  <si>
    <t>MSE_Ant_theta</t>
  </si>
  <si>
    <t>MSE_Post_theta</t>
  </si>
  <si>
    <t>SW_SampEN_Ant_alpha</t>
  </si>
  <si>
    <t>SW_SampEN_Post_alpha</t>
  </si>
  <si>
    <t>SW_SampEN_Ant_beta</t>
  </si>
  <si>
    <t>SW_SampEN_Post_beta</t>
  </si>
  <si>
    <t>SW_SampEN_Ant_delta</t>
  </si>
  <si>
    <t>SW_SampEN_Post_delta</t>
  </si>
  <si>
    <t>SW_SampEN_Ant_theta</t>
  </si>
  <si>
    <t>SW_SampEN_Post_theta</t>
  </si>
  <si>
    <t>CRI_tot</t>
  </si>
  <si>
    <t>MOCA_tot</t>
  </si>
  <si>
    <t>Scolarità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</si>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</sst>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2" fillId="0" borderId="0" xfId="0" applyFont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3" borderId="6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53C7-1D85-4224-8363-788185301146}">
  <dimension ref="A1:AF46"/>
  <sheetViews>
    <sheetView tabSelected="1" workbookViewId="0">
      <selection sqref="A1:XFD1"/>
    </sheetView>
  </sheetViews>
  <sheetFormatPr defaultColWidth="19.36328125" defaultRowHeight="14.5" x14ac:dyDescent="0.35"/>
  <sheetData>
    <row r="1" spans="1:32" x14ac:dyDescent="0.35">
      <c r="A1" s="1" t="s">
        <v>76</v>
      </c>
      <c r="B1" t="s">
        <v>45</v>
      </c>
      <c r="C1" t="s">
        <v>75</v>
      </c>
      <c r="D1" t="s">
        <v>73</v>
      </c>
      <c r="E1" t="s">
        <v>74</v>
      </c>
      <c r="F1" t="s">
        <v>46</v>
      </c>
      <c r="G1" t="s">
        <v>47</v>
      </c>
      <c r="H1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7" t="s">
        <v>72</v>
      </c>
    </row>
    <row r="2" spans="1:32" x14ac:dyDescent="0.35">
      <c r="A2" s="2" t="s">
        <v>0</v>
      </c>
      <c r="B2" s="5">
        <v>64</v>
      </c>
      <c r="C2" s="5">
        <v>13</v>
      </c>
      <c r="D2" s="5">
        <v>119</v>
      </c>
      <c r="E2" s="5">
        <v>28</v>
      </c>
      <c r="F2" s="5">
        <f>143-63</f>
        <v>80</v>
      </c>
      <c r="G2" s="5"/>
      <c r="H2" s="5"/>
      <c r="I2" s="8">
        <v>0.49204594738472002</v>
      </c>
      <c r="J2" s="8">
        <v>0.48975140410948997</v>
      </c>
      <c r="K2" s="8">
        <v>0.62482655053675296</v>
      </c>
      <c r="L2" s="8">
        <v>0.62605816196044395</v>
      </c>
      <c r="M2" s="8">
        <v>8.6045628006837002E-2</v>
      </c>
      <c r="N2" s="8">
        <v>8.5495135448599796E-2</v>
      </c>
      <c r="O2" s="8">
        <v>0.31741462611170301</v>
      </c>
      <c r="P2" s="8">
        <v>0.33270120462048902</v>
      </c>
      <c r="Q2" s="8">
        <v>0.93880476006826397</v>
      </c>
      <c r="R2" s="8">
        <v>0.95974340169833305</v>
      </c>
      <c r="S2" s="8">
        <v>0.88604684691657898</v>
      </c>
      <c r="T2" s="8">
        <v>0.87089825958766698</v>
      </c>
      <c r="U2" s="8">
        <v>4.0689344024744799E-2</v>
      </c>
      <c r="V2" s="8">
        <v>0.244513483195167</v>
      </c>
      <c r="W2" s="8">
        <v>1.50899607944959</v>
      </c>
      <c r="X2" s="8">
        <v>1.3984997852022001</v>
      </c>
      <c r="Y2" s="8">
        <v>-1.0762953500613199</v>
      </c>
      <c r="Z2" s="8">
        <v>-1.08471195766268</v>
      </c>
      <c r="AA2" s="8">
        <v>-1.12853805398313</v>
      </c>
      <c r="AB2" s="8">
        <v>-1.15740426990392</v>
      </c>
      <c r="AC2" s="8">
        <v>-1.2039728043259399</v>
      </c>
      <c r="AD2" s="8">
        <v>-1.2039728043259399</v>
      </c>
      <c r="AE2" s="8">
        <v>-1.14267356428512</v>
      </c>
      <c r="AF2" s="9">
        <v>-1.0852857699321801</v>
      </c>
    </row>
    <row r="3" spans="1:32" x14ac:dyDescent="0.35">
      <c r="A3" s="3" t="s">
        <v>1</v>
      </c>
      <c r="B3" s="5">
        <v>64</v>
      </c>
      <c r="C3" s="5">
        <v>13</v>
      </c>
      <c r="D3" s="5">
        <v>123</v>
      </c>
      <c r="E3" s="5">
        <v>23</v>
      </c>
      <c r="F3" s="5">
        <f>E3-D3</f>
        <v>-100</v>
      </c>
      <c r="G3" s="5">
        <v>144</v>
      </c>
      <c r="H3" s="5">
        <v>65</v>
      </c>
      <c r="I3" s="10">
        <v>0.51832936483595504</v>
      </c>
      <c r="J3" s="10">
        <v>0.51924346616425598</v>
      </c>
      <c r="K3" s="10">
        <v>0.62400650985846895</v>
      </c>
      <c r="L3" s="10">
        <v>0.61893141078287095</v>
      </c>
      <c r="M3" s="10">
        <v>9.4876524385223801E-2</v>
      </c>
      <c r="N3" s="10">
        <v>9.2352003058786894E-2</v>
      </c>
      <c r="O3" s="10">
        <v>0.32774258597712602</v>
      </c>
      <c r="P3" s="10">
        <v>0.329609462930675</v>
      </c>
      <c r="Q3" s="10">
        <v>0.87089599308850696</v>
      </c>
      <c r="R3" s="10">
        <v>0.817507474616742</v>
      </c>
      <c r="S3" s="10">
        <v>0.89149632675130897</v>
      </c>
      <c r="T3" s="10">
        <v>0.85809428089657303</v>
      </c>
      <c r="U3" s="10">
        <v>0.28849760282723402</v>
      </c>
      <c r="V3" s="10">
        <v>0.12895668196221499</v>
      </c>
      <c r="W3" s="10">
        <v>1.4551776080330501</v>
      </c>
      <c r="X3" s="10">
        <v>1.5726408597161201</v>
      </c>
      <c r="Y3" s="10">
        <v>-1.0620035148779401</v>
      </c>
      <c r="Z3" s="10">
        <v>-1.0587678684828199</v>
      </c>
      <c r="AA3" s="10">
        <v>-1.1804576386392001</v>
      </c>
      <c r="AB3" s="10">
        <v>-1.1889935733728001</v>
      </c>
      <c r="AC3" s="10">
        <v>-1.2039728043259399</v>
      </c>
      <c r="AD3" s="10">
        <v>-1.2039728043259399</v>
      </c>
      <c r="AE3" s="10">
        <v>-1.1786004528496801</v>
      </c>
      <c r="AF3" s="11">
        <v>-1.1677821508193</v>
      </c>
    </row>
    <row r="4" spans="1:32" x14ac:dyDescent="0.35">
      <c r="A4" s="2" t="s">
        <v>2</v>
      </c>
      <c r="B4" s="5">
        <v>65</v>
      </c>
      <c r="C4" s="5">
        <v>11</v>
      </c>
      <c r="D4" s="5">
        <v>114</v>
      </c>
      <c r="E4" s="5">
        <v>27</v>
      </c>
      <c r="F4" s="5">
        <v>17</v>
      </c>
      <c r="G4" s="5"/>
      <c r="H4" s="5">
        <v>55</v>
      </c>
      <c r="I4" s="8">
        <v>0.50400024533281995</v>
      </c>
      <c r="J4" s="8">
        <v>0.50607356480361099</v>
      </c>
      <c r="K4" s="8">
        <v>0.62964482738335004</v>
      </c>
      <c r="L4" s="8">
        <v>0.62862551850942605</v>
      </c>
      <c r="M4" s="8">
        <v>7.7319855713901195E-2</v>
      </c>
      <c r="N4" s="8">
        <v>7.5868083955160703E-2</v>
      </c>
      <c r="O4" s="8">
        <v>0.345491098486018</v>
      </c>
      <c r="P4" s="8">
        <v>0.34637546343372599</v>
      </c>
      <c r="Q4" s="8">
        <v>0.96734634430960098</v>
      </c>
      <c r="R4" s="8">
        <v>0.93738777349206404</v>
      </c>
      <c r="S4" s="8">
        <v>0.92019042104856297</v>
      </c>
      <c r="T4" s="8">
        <v>0.88625686015288796</v>
      </c>
      <c r="U4" s="8">
        <v>3.3180730911630603E-2</v>
      </c>
      <c r="V4" s="8">
        <v>8.5634983177218599E-2</v>
      </c>
      <c r="W4" s="8">
        <v>1.57320934450996</v>
      </c>
      <c r="X4" s="8">
        <v>1.5601734781105301</v>
      </c>
      <c r="Y4" s="8">
        <v>-1.13619958595281</v>
      </c>
      <c r="Z4" s="8">
        <v>-1.12172448560021</v>
      </c>
      <c r="AA4" s="8">
        <v>-1.1576265267711801</v>
      </c>
      <c r="AB4" s="8">
        <v>-1.16536402207731</v>
      </c>
      <c r="AC4" s="8">
        <v>-1.2039728043259399</v>
      </c>
      <c r="AD4" s="8">
        <v>-1.2039728043259399</v>
      </c>
      <c r="AE4" s="8">
        <v>-1.1599277258777201</v>
      </c>
      <c r="AF4" s="9">
        <v>-1.18329544147122</v>
      </c>
    </row>
    <row r="5" spans="1:32" x14ac:dyDescent="0.35">
      <c r="A5" s="3" t="s">
        <v>3</v>
      </c>
      <c r="B5" s="5">
        <v>68</v>
      </c>
      <c r="C5" s="5">
        <v>13</v>
      </c>
      <c r="D5" s="5">
        <v>109</v>
      </c>
      <c r="E5" s="5">
        <v>25</v>
      </c>
      <c r="F5" s="5">
        <v>180</v>
      </c>
      <c r="G5" s="5">
        <v>122</v>
      </c>
      <c r="H5" s="5">
        <v>69</v>
      </c>
      <c r="I5" s="10">
        <v>0.51638231525506795</v>
      </c>
      <c r="J5" s="10">
        <v>0.514848325688119</v>
      </c>
      <c r="K5" s="10">
        <v>0.62449767955430502</v>
      </c>
      <c r="L5" s="10">
        <v>0.62201065693041102</v>
      </c>
      <c r="M5" s="10">
        <v>8.7474753145106304E-2</v>
      </c>
      <c r="N5" s="10">
        <v>8.7003543468445396E-2</v>
      </c>
      <c r="O5" s="10">
        <v>0.30145453962153301</v>
      </c>
      <c r="P5" s="10">
        <v>0.31584908169902898</v>
      </c>
      <c r="Q5" s="10">
        <v>0.89325964858432105</v>
      </c>
      <c r="R5" s="10">
        <v>0.82798680878874897</v>
      </c>
      <c r="S5" s="10">
        <v>0.87508288030078996</v>
      </c>
      <c r="T5" s="10">
        <v>0.84630513004971397</v>
      </c>
      <c r="U5" s="10">
        <v>0.20854411924322799</v>
      </c>
      <c r="V5" s="10">
        <v>0.19109045581480499</v>
      </c>
      <c r="W5" s="10">
        <v>1.4778483182228099</v>
      </c>
      <c r="X5" s="10">
        <v>1.5433798272216099</v>
      </c>
      <c r="Y5" s="10">
        <v>-1.11295061003996</v>
      </c>
      <c r="Z5" s="10">
        <v>-1.09310350293697</v>
      </c>
      <c r="AA5" s="10">
        <v>-1.18053211542911</v>
      </c>
      <c r="AB5" s="10">
        <v>-1.1491077456282499</v>
      </c>
      <c r="AC5" s="10">
        <v>-1.2039728043259399</v>
      </c>
      <c r="AD5" s="10">
        <v>-1.2039728043259399</v>
      </c>
      <c r="AE5" s="10">
        <v>-1.16675321145566</v>
      </c>
      <c r="AF5" s="11">
        <v>-1.1758534152029201</v>
      </c>
    </row>
    <row r="6" spans="1:32" x14ac:dyDescent="0.35">
      <c r="A6" s="2" t="s">
        <v>4</v>
      </c>
      <c r="B6" s="5">
        <v>70</v>
      </c>
      <c r="C6" s="5">
        <v>15</v>
      </c>
      <c r="D6" s="5">
        <v>142</v>
      </c>
      <c r="E6" s="5">
        <v>27</v>
      </c>
      <c r="F6" s="5">
        <v>58</v>
      </c>
      <c r="G6" s="5">
        <v>101</v>
      </c>
      <c r="H6" s="5"/>
      <c r="I6" s="8">
        <v>0.49554428378920201</v>
      </c>
      <c r="J6" s="8">
        <v>0.49627335713284698</v>
      </c>
      <c r="K6" s="8">
        <v>0.62307308124247895</v>
      </c>
      <c r="L6" s="8">
        <v>0.61997447946367501</v>
      </c>
      <c r="M6" s="8">
        <v>8.6313590899388407E-2</v>
      </c>
      <c r="N6" s="8">
        <v>9.07406295272917E-2</v>
      </c>
      <c r="O6" s="8">
        <v>0.376220228043953</v>
      </c>
      <c r="P6" s="8">
        <v>0.38289832833444498</v>
      </c>
      <c r="Q6" s="8">
        <v>0.90909293346842501</v>
      </c>
      <c r="R6" s="8">
        <v>0.88022724300713096</v>
      </c>
      <c r="S6" s="8">
        <v>0.881978691448287</v>
      </c>
      <c r="T6" s="8">
        <v>0.87049295485245604</v>
      </c>
      <c r="U6" s="8">
        <v>0.142564496071869</v>
      </c>
      <c r="V6" s="8">
        <v>0.13384348993102599</v>
      </c>
      <c r="W6" s="8">
        <v>1.5821943612009</v>
      </c>
      <c r="X6" s="8">
        <v>1.50730844046431</v>
      </c>
      <c r="Y6" s="8">
        <v>-1.1106316004257299</v>
      </c>
      <c r="Z6" s="8">
        <v>-1.09727474018002</v>
      </c>
      <c r="AA6" s="8">
        <v>-1.16485336572187</v>
      </c>
      <c r="AB6" s="8">
        <v>-1.179923857885</v>
      </c>
      <c r="AC6" s="8">
        <v>-1.2039728043259399</v>
      </c>
      <c r="AD6" s="8">
        <v>-1.2039728043259399</v>
      </c>
      <c r="AE6" s="8">
        <v>-1.10750964748486</v>
      </c>
      <c r="AF6" s="9">
        <v>-1.0753363697337599</v>
      </c>
    </row>
    <row r="7" spans="1:32" x14ac:dyDescent="0.35">
      <c r="A7" s="3" t="s">
        <v>5</v>
      </c>
      <c r="B7" s="5">
        <v>68</v>
      </c>
      <c r="C7" s="5">
        <v>13</v>
      </c>
      <c r="D7" s="5">
        <v>117</v>
      </c>
      <c r="E7" s="5">
        <v>26</v>
      </c>
      <c r="F7" s="5"/>
      <c r="G7" s="5">
        <v>125</v>
      </c>
      <c r="H7" s="5">
        <v>58</v>
      </c>
      <c r="I7" s="10">
        <v>0.51556811602323405</v>
      </c>
      <c r="J7" s="10">
        <v>0.52132763942205196</v>
      </c>
      <c r="K7" s="10">
        <v>0.62582280554528702</v>
      </c>
      <c r="L7" s="10">
        <v>0.62489123119398504</v>
      </c>
      <c r="M7" s="10">
        <v>7.6881774134820197E-2</v>
      </c>
      <c r="N7" s="10">
        <v>8.6549701539975904E-2</v>
      </c>
      <c r="O7" s="10">
        <v>0.29286892799206099</v>
      </c>
      <c r="P7" s="10">
        <v>0.28667678831690202</v>
      </c>
      <c r="Q7" s="10">
        <v>0.94884086870981299</v>
      </c>
      <c r="R7" s="10">
        <v>0.91080133463141599</v>
      </c>
      <c r="S7" s="10">
        <v>0.87687467753167803</v>
      </c>
      <c r="T7" s="10">
        <v>0.88197462780825497</v>
      </c>
      <c r="U7" s="10">
        <v>0.105625601382522</v>
      </c>
      <c r="V7" s="10">
        <v>0.28915015554277601</v>
      </c>
      <c r="W7" s="10">
        <v>1.5020999847871701</v>
      </c>
      <c r="X7" s="10">
        <v>1.51103516540813</v>
      </c>
      <c r="Y7" s="10">
        <v>-1.1318376934044401</v>
      </c>
      <c r="Z7" s="10">
        <v>-1.0940722332725401</v>
      </c>
      <c r="AA7" s="10">
        <v>-1.15260256274813</v>
      </c>
      <c r="AB7" s="10">
        <v>-1.1170594643538101</v>
      </c>
      <c r="AC7" s="10">
        <v>-1.2039728043259399</v>
      </c>
      <c r="AD7" s="10">
        <v>-1.2039728043259399</v>
      </c>
      <c r="AE7" s="10">
        <v>-1.1683070088132099</v>
      </c>
      <c r="AF7" s="11">
        <v>-1.1798481336716999</v>
      </c>
    </row>
    <row r="8" spans="1:32" x14ac:dyDescent="0.35">
      <c r="A8" s="2" t="s">
        <v>6</v>
      </c>
      <c r="B8" s="5">
        <v>66</v>
      </c>
      <c r="C8" s="5">
        <v>12</v>
      </c>
      <c r="D8" s="5">
        <v>106</v>
      </c>
      <c r="E8" s="5">
        <v>29</v>
      </c>
      <c r="F8" s="5">
        <v>40</v>
      </c>
      <c r="G8" s="5">
        <v>97</v>
      </c>
      <c r="H8" s="5">
        <v>42</v>
      </c>
      <c r="I8" s="8">
        <v>0.51364408463900602</v>
      </c>
      <c r="J8" s="8">
        <v>0.51374894080814504</v>
      </c>
      <c r="K8" s="8">
        <v>0.62509850630599895</v>
      </c>
      <c r="L8" s="8">
        <v>0.62373436936078697</v>
      </c>
      <c r="M8" s="8">
        <v>7.7998200835059095E-2</v>
      </c>
      <c r="N8" s="8">
        <v>8.4005775265077395E-2</v>
      </c>
      <c r="O8" s="8">
        <v>0.32220669731950302</v>
      </c>
      <c r="P8" s="8">
        <v>0.32873328397798701</v>
      </c>
      <c r="Q8" s="8">
        <v>0.94250382097838004</v>
      </c>
      <c r="R8" s="8">
        <v>0.91230590559255798</v>
      </c>
      <c r="S8" s="8">
        <v>0.912782038152817</v>
      </c>
      <c r="T8" s="8">
        <v>0.88986040900692498</v>
      </c>
      <c r="U8" s="8">
        <v>0.20261250258086</v>
      </c>
      <c r="V8" s="8">
        <v>0.23195158402485</v>
      </c>
      <c r="W8" s="8">
        <v>1.57740658846405</v>
      </c>
      <c r="X8" s="8">
        <v>1.49683802606724</v>
      </c>
      <c r="Y8" s="8">
        <v>-1.10328792231035</v>
      </c>
      <c r="Z8" s="8">
        <v>-1.0638724318012001</v>
      </c>
      <c r="AA8" s="8">
        <v>-1.1665018799831099</v>
      </c>
      <c r="AB8" s="8">
        <v>-1.17520865627468</v>
      </c>
      <c r="AC8" s="8">
        <v>-1.2039728043259399</v>
      </c>
      <c r="AD8" s="8">
        <v>-1.2039728043259399</v>
      </c>
      <c r="AE8" s="8">
        <v>-1.1695098883920401</v>
      </c>
      <c r="AF8" s="9">
        <v>-1.1765328982171599</v>
      </c>
    </row>
    <row r="9" spans="1:32" x14ac:dyDescent="0.35">
      <c r="A9" s="3" t="s">
        <v>7</v>
      </c>
      <c r="B9" s="5">
        <v>64</v>
      </c>
      <c r="C9" s="5">
        <v>10</v>
      </c>
      <c r="D9" s="5">
        <v>109</v>
      </c>
      <c r="E9" s="5">
        <v>26</v>
      </c>
      <c r="F9" s="5">
        <v>57</v>
      </c>
      <c r="G9" s="5">
        <v>92</v>
      </c>
      <c r="H9" s="5">
        <v>81</v>
      </c>
      <c r="I9" s="10">
        <v>0.50521181744960997</v>
      </c>
      <c r="J9" s="10">
        <v>0.50967515002627495</v>
      </c>
      <c r="K9" s="10">
        <v>0.62679110095702895</v>
      </c>
      <c r="L9" s="10">
        <v>0.62532326358401802</v>
      </c>
      <c r="M9" s="10">
        <v>8.5433205435322193E-2</v>
      </c>
      <c r="N9" s="10">
        <v>8.4097393152007704E-2</v>
      </c>
      <c r="O9" s="10">
        <v>0.295904521285558</v>
      </c>
      <c r="P9" s="10">
        <v>0.29284454398596099</v>
      </c>
      <c r="Q9" s="10">
        <v>0.91978128973913498</v>
      </c>
      <c r="R9" s="10">
        <v>0.88585099822248903</v>
      </c>
      <c r="S9" s="10">
        <v>0.88017711465139803</v>
      </c>
      <c r="T9" s="10">
        <v>0.84356828884989299</v>
      </c>
      <c r="U9" s="10">
        <v>0.11471121094638299</v>
      </c>
      <c r="V9" s="10">
        <v>1.7165817010439201E-2</v>
      </c>
      <c r="W9" s="10">
        <v>1.5105415618498601</v>
      </c>
      <c r="X9" s="10">
        <v>1.4912178720689599</v>
      </c>
      <c r="Y9" s="10">
        <v>-1.1514480871286501</v>
      </c>
      <c r="Z9" s="10">
        <v>-1.1059935611273</v>
      </c>
      <c r="AA9" s="10">
        <v>-1.1704403708278499</v>
      </c>
      <c r="AB9" s="10">
        <v>-1.1650372408248899</v>
      </c>
      <c r="AC9" s="10">
        <v>-1.2039728043259399</v>
      </c>
      <c r="AD9" s="10">
        <v>-1.2039728043259399</v>
      </c>
      <c r="AE9" s="10">
        <v>-1.1759840369149299</v>
      </c>
      <c r="AF9" s="11">
        <v>-1.1993957363588701</v>
      </c>
    </row>
    <row r="10" spans="1:32" x14ac:dyDescent="0.35">
      <c r="A10" s="2" t="s">
        <v>8</v>
      </c>
      <c r="B10" s="5">
        <v>67</v>
      </c>
      <c r="C10" s="5">
        <v>13</v>
      </c>
      <c r="D10" s="5">
        <v>136</v>
      </c>
      <c r="E10" s="5">
        <v>25</v>
      </c>
      <c r="F10" s="5">
        <v>60</v>
      </c>
      <c r="G10" s="5">
        <v>123</v>
      </c>
      <c r="H10" s="5">
        <v>50</v>
      </c>
      <c r="I10" s="8">
        <v>0.51761255931095396</v>
      </c>
      <c r="J10" s="8">
        <v>0.52320932339872095</v>
      </c>
      <c r="K10" s="8">
        <v>0.61795106947180201</v>
      </c>
      <c r="L10" s="8">
        <v>0.61577750729650205</v>
      </c>
      <c r="M10" s="8">
        <v>7.7354993089200005E-2</v>
      </c>
      <c r="N10" s="8">
        <v>7.9366930426400598E-2</v>
      </c>
      <c r="O10" s="8">
        <v>0.35350456567018601</v>
      </c>
      <c r="P10" s="8">
        <v>0.33993703958228699</v>
      </c>
      <c r="Q10" s="8">
        <v>0.94476516448126902</v>
      </c>
      <c r="R10" s="8">
        <v>0.93166812014029998</v>
      </c>
      <c r="S10" s="8">
        <v>0.80194378510284603</v>
      </c>
      <c r="T10" s="8">
        <v>0.82479585040480397</v>
      </c>
      <c r="U10" s="8">
        <v>7.0493749810561501E-2</v>
      </c>
      <c r="V10" s="8">
        <v>7.3158300423815895E-2</v>
      </c>
      <c r="W10" s="8">
        <v>1.4978723737089801</v>
      </c>
      <c r="X10" s="8">
        <v>1.55533091803371</v>
      </c>
      <c r="Y10" s="8">
        <v>-1.0877490532313301</v>
      </c>
      <c r="Z10" s="8">
        <v>-1.1265125476551101</v>
      </c>
      <c r="AA10" s="8">
        <v>-1.17082564270759</v>
      </c>
      <c r="AB10" s="8">
        <v>-1.1422845598965601</v>
      </c>
      <c r="AC10" s="8">
        <v>-1.2039728043259399</v>
      </c>
      <c r="AD10" s="8">
        <v>-1.2039728043259399</v>
      </c>
      <c r="AE10" s="8">
        <v>-1.1410058258525899</v>
      </c>
      <c r="AF10" s="9">
        <v>-1.1332158269913299</v>
      </c>
    </row>
    <row r="11" spans="1:32" x14ac:dyDescent="0.35">
      <c r="A11" s="3" t="s">
        <v>9</v>
      </c>
      <c r="B11" s="5">
        <v>74</v>
      </c>
      <c r="C11" s="5">
        <v>15</v>
      </c>
      <c r="D11" s="5">
        <v>113</v>
      </c>
      <c r="E11" s="5">
        <v>25</v>
      </c>
      <c r="F11" s="5">
        <v>38</v>
      </c>
      <c r="G11" s="5">
        <v>108</v>
      </c>
      <c r="H11" s="5">
        <v>51</v>
      </c>
      <c r="I11" s="10">
        <v>0.51211094036230398</v>
      </c>
      <c r="J11" s="10">
        <v>0.512146328184657</v>
      </c>
      <c r="K11" s="10">
        <v>0.62163609349658799</v>
      </c>
      <c r="L11" s="10">
        <v>0.61705826764610305</v>
      </c>
      <c r="M11" s="10">
        <v>7.8846354480564707E-2</v>
      </c>
      <c r="N11" s="10">
        <v>7.9979565867822996E-2</v>
      </c>
      <c r="O11" s="10">
        <v>0.35717728689154699</v>
      </c>
      <c r="P11" s="10">
        <v>0.36762890314392799</v>
      </c>
      <c r="Q11" s="10">
        <v>0.91863921398027903</v>
      </c>
      <c r="R11" s="10">
        <v>0.88917662863072</v>
      </c>
      <c r="S11" s="10">
        <v>0.86443728157585997</v>
      </c>
      <c r="T11" s="10">
        <v>0.85363570943107203</v>
      </c>
      <c r="U11" s="10">
        <v>4.60167898108889E-2</v>
      </c>
      <c r="V11" s="10">
        <v>0.11527748294106099</v>
      </c>
      <c r="W11" s="10">
        <v>1.50831089450853</v>
      </c>
      <c r="X11" s="10">
        <v>1.3796810414163001</v>
      </c>
      <c r="Y11" s="10">
        <v>-1.1006978424266101</v>
      </c>
      <c r="Z11" s="10">
        <v>-1.1568640472774201</v>
      </c>
      <c r="AA11" s="10">
        <v>-1.18548869181869</v>
      </c>
      <c r="AB11" s="10">
        <v>-1.18937834542715</v>
      </c>
      <c r="AC11" s="10">
        <v>-1.2039728043259399</v>
      </c>
      <c r="AD11" s="10">
        <v>-1.2039728043259399</v>
      </c>
      <c r="AE11" s="10">
        <v>-1.1521822795093899</v>
      </c>
      <c r="AF11" s="11">
        <v>-1.13415804649844</v>
      </c>
    </row>
    <row r="12" spans="1:32" x14ac:dyDescent="0.35">
      <c r="A12" s="2" t="s">
        <v>10</v>
      </c>
      <c r="B12" s="5">
        <v>66</v>
      </c>
      <c r="C12" s="5">
        <v>17</v>
      </c>
      <c r="D12" s="5">
        <v>127</v>
      </c>
      <c r="E12" s="5">
        <v>28</v>
      </c>
      <c r="F12" s="5">
        <v>24</v>
      </c>
      <c r="G12" s="5">
        <v>143</v>
      </c>
      <c r="H12" s="5">
        <v>57</v>
      </c>
      <c r="I12" s="8">
        <v>0.51199273291270997</v>
      </c>
      <c r="J12" s="8">
        <v>0.51604135719033895</v>
      </c>
      <c r="K12" s="8">
        <v>0.62537356131122501</v>
      </c>
      <c r="L12" s="8">
        <v>0.623492768786714</v>
      </c>
      <c r="M12" s="8">
        <v>8.3984629278722495E-2</v>
      </c>
      <c r="N12" s="8">
        <v>8.3596626737974702E-2</v>
      </c>
      <c r="O12" s="8">
        <v>0.33124906694002898</v>
      </c>
      <c r="P12" s="8">
        <v>0.33882777977472101</v>
      </c>
      <c r="Q12" s="8">
        <v>0.94732438227219995</v>
      </c>
      <c r="R12" s="8">
        <v>0.91594620106479097</v>
      </c>
      <c r="S12" s="8">
        <v>0.86965831371770896</v>
      </c>
      <c r="T12" s="8">
        <v>0.86054906966023204</v>
      </c>
      <c r="U12" s="8">
        <v>8.8887301162603793E-2</v>
      </c>
      <c r="V12" s="8">
        <v>0.151379877669861</v>
      </c>
      <c r="W12" s="8">
        <v>1.51709095606236</v>
      </c>
      <c r="X12" s="8">
        <v>1.4864701820719799</v>
      </c>
      <c r="Y12" s="8">
        <v>-1.11186632408888</v>
      </c>
      <c r="Z12" s="8">
        <v>-1.08234983128297</v>
      </c>
      <c r="AA12" s="8">
        <v>-1.13207970142381</v>
      </c>
      <c r="AB12" s="8">
        <v>-1.1666866281530199</v>
      </c>
      <c r="AC12" s="8">
        <v>-1.2039728043259399</v>
      </c>
      <c r="AD12" s="8">
        <v>-1.2039728043259399</v>
      </c>
      <c r="AE12" s="8">
        <v>-1.1777084913995</v>
      </c>
      <c r="AF12" s="9">
        <v>-1.17910336197553</v>
      </c>
    </row>
    <row r="13" spans="1:32" x14ac:dyDescent="0.35">
      <c r="A13" s="3" t="s">
        <v>11</v>
      </c>
      <c r="B13" s="5">
        <v>68</v>
      </c>
      <c r="C13" s="5">
        <v>13</v>
      </c>
      <c r="D13" s="5">
        <v>112</v>
      </c>
      <c r="E13" s="5">
        <v>27</v>
      </c>
      <c r="F13" s="5">
        <v>33</v>
      </c>
      <c r="G13" s="5">
        <v>147</v>
      </c>
      <c r="H13" s="5">
        <v>70</v>
      </c>
      <c r="I13" s="10">
        <v>0.50769664042784901</v>
      </c>
      <c r="J13" s="10">
        <v>0.50863633782778295</v>
      </c>
      <c r="K13" s="10">
        <v>0.62663938345928005</v>
      </c>
      <c r="L13" s="10">
        <v>0.62314496937261099</v>
      </c>
      <c r="M13" s="10">
        <v>7.8340778495097907E-2</v>
      </c>
      <c r="N13" s="10">
        <v>7.7944844508768693E-2</v>
      </c>
      <c r="O13" s="10">
        <v>0.30118626440868401</v>
      </c>
      <c r="P13" s="10">
        <v>0.31573353378605101</v>
      </c>
      <c r="Q13" s="10">
        <v>0.92732708292497001</v>
      </c>
      <c r="R13" s="10">
        <v>0.98389267628843002</v>
      </c>
      <c r="S13" s="10">
        <v>0.90586974261183795</v>
      </c>
      <c r="T13" s="10">
        <v>0.91752253029639297</v>
      </c>
      <c r="U13" s="10">
        <v>6.0803969370477301E-2</v>
      </c>
      <c r="V13" s="10">
        <v>0</v>
      </c>
      <c r="W13" s="10">
        <v>1.45707482606519</v>
      </c>
      <c r="X13" s="10">
        <v>1.4907704835090201</v>
      </c>
      <c r="Y13" s="10">
        <v>-1.07956621918107</v>
      </c>
      <c r="Z13" s="10">
        <v>-1.0815063415208801</v>
      </c>
      <c r="AA13" s="10">
        <v>-1.1749972653109499</v>
      </c>
      <c r="AB13" s="10">
        <v>-1.17655256407044</v>
      </c>
      <c r="AC13" s="10">
        <v>-1.2039728043259399</v>
      </c>
      <c r="AD13" s="10">
        <v>-1.2039728043259399</v>
      </c>
      <c r="AE13" s="10">
        <v>-1.2009236563619301</v>
      </c>
      <c r="AF13" s="11">
        <v>-1.1975678082172201</v>
      </c>
    </row>
    <row r="14" spans="1:32" x14ac:dyDescent="0.35">
      <c r="A14" s="2" t="s">
        <v>12</v>
      </c>
      <c r="B14" s="5">
        <v>64</v>
      </c>
      <c r="C14" s="5">
        <v>13</v>
      </c>
      <c r="D14" s="5">
        <v>118</v>
      </c>
      <c r="E14" s="5">
        <v>27</v>
      </c>
      <c r="F14" s="5">
        <f>E14-D14</f>
        <v>-91</v>
      </c>
      <c r="G14" s="5">
        <v>96</v>
      </c>
      <c r="H14" s="5">
        <v>82</v>
      </c>
      <c r="I14" s="8">
        <v>0.50124657884063495</v>
      </c>
      <c r="J14" s="8">
        <v>0.50928085831044201</v>
      </c>
      <c r="K14" s="8">
        <v>0.62567844601189204</v>
      </c>
      <c r="L14" s="8">
        <v>0.62300724352597803</v>
      </c>
      <c r="M14" s="8">
        <v>8.78787160586674E-2</v>
      </c>
      <c r="N14" s="8">
        <v>8.2818771247978804E-2</v>
      </c>
      <c r="O14" s="8">
        <v>0.32226832434611402</v>
      </c>
      <c r="P14" s="8">
        <v>0.32283311572361201</v>
      </c>
      <c r="Q14" s="8">
        <v>1.0084225829026701</v>
      </c>
      <c r="R14" s="8">
        <v>0.99564085470280395</v>
      </c>
      <c r="S14" s="8">
        <v>0.88981399651379001</v>
      </c>
      <c r="T14" s="8">
        <v>0.89528758650015206</v>
      </c>
      <c r="U14" s="8">
        <v>0.109001926508336</v>
      </c>
      <c r="V14" s="8">
        <v>0.111984966826753</v>
      </c>
      <c r="W14" s="8">
        <v>1.47264823491564</v>
      </c>
      <c r="X14" s="8">
        <v>1.60973358214698</v>
      </c>
      <c r="Y14" s="8">
        <v>-1.1356486194911</v>
      </c>
      <c r="Z14" s="8">
        <v>-1.1470784230222899</v>
      </c>
      <c r="AA14" s="8">
        <v>-1.11564244638098</v>
      </c>
      <c r="AB14" s="8">
        <v>-1.15500950928465</v>
      </c>
      <c r="AC14" s="8">
        <v>-1.2039728043259399</v>
      </c>
      <c r="AD14" s="8">
        <v>-1.2039728043259399</v>
      </c>
      <c r="AE14" s="8">
        <v>-1.1906308893495701</v>
      </c>
      <c r="AF14" s="9">
        <v>-1.17906795865934</v>
      </c>
    </row>
    <row r="15" spans="1:32" x14ac:dyDescent="0.35">
      <c r="A15" s="3" t="s">
        <v>13</v>
      </c>
      <c r="B15" s="5">
        <v>70</v>
      </c>
      <c r="C15" s="5">
        <v>17</v>
      </c>
      <c r="D15" s="5">
        <v>137</v>
      </c>
      <c r="E15" s="5">
        <v>25</v>
      </c>
      <c r="F15" s="5">
        <v>13</v>
      </c>
      <c r="G15" s="5"/>
      <c r="H15" s="5">
        <v>79</v>
      </c>
      <c r="I15" s="10">
        <v>0.52849575006912297</v>
      </c>
      <c r="J15" s="10">
        <v>0.528629909648337</v>
      </c>
      <c r="K15" s="10">
        <v>0.62274418066706405</v>
      </c>
      <c r="L15" s="10">
        <v>0.62438172842717499</v>
      </c>
      <c r="M15" s="10">
        <v>8.59566414655204E-2</v>
      </c>
      <c r="N15" s="10">
        <v>9.0477717810582003E-2</v>
      </c>
      <c r="O15" s="10">
        <v>0.297711485465259</v>
      </c>
      <c r="P15" s="10">
        <v>0.30302778946467501</v>
      </c>
      <c r="Q15" s="10">
        <v>0.81609290864829698</v>
      </c>
      <c r="R15" s="10">
        <v>0.79501989093097902</v>
      </c>
      <c r="S15" s="10">
        <v>0.86336728444691102</v>
      </c>
      <c r="T15" s="10">
        <v>0.90818313501241099</v>
      </c>
      <c r="U15" s="10">
        <v>0.252379741727147</v>
      </c>
      <c r="V15" s="10">
        <v>0.33255707074468599</v>
      </c>
      <c r="W15" s="10">
        <v>1.4992296960120901</v>
      </c>
      <c r="X15" s="10">
        <v>1.46631370712767</v>
      </c>
      <c r="Y15" s="10">
        <v>-1.0253773797032799</v>
      </c>
      <c r="Z15" s="10">
        <v>-1.02717888458374</v>
      </c>
      <c r="AA15" s="10">
        <v>-1.1053788994150899</v>
      </c>
      <c r="AB15" s="10">
        <v>-1.14378062694043</v>
      </c>
      <c r="AC15" s="10">
        <v>-1.2039728043259399</v>
      </c>
      <c r="AD15" s="10">
        <v>-1.2039728043259399</v>
      </c>
      <c r="AE15" s="10">
        <v>-1.19241924452234</v>
      </c>
      <c r="AF15" s="11">
        <v>-1.1423148765367599</v>
      </c>
    </row>
    <row r="16" spans="1:32" x14ac:dyDescent="0.35">
      <c r="A16" s="2" t="s">
        <v>14</v>
      </c>
      <c r="B16" s="5">
        <v>65</v>
      </c>
      <c r="C16" s="5">
        <v>11</v>
      </c>
      <c r="D16" s="5">
        <v>108</v>
      </c>
      <c r="E16" s="5">
        <v>22</v>
      </c>
      <c r="F16" s="5">
        <v>72</v>
      </c>
      <c r="G16" s="5">
        <v>159</v>
      </c>
      <c r="H16" s="5"/>
      <c r="I16" s="8">
        <v>0.50898815165250999</v>
      </c>
      <c r="J16" s="8">
        <v>0.51863581557416005</v>
      </c>
      <c r="K16" s="8">
        <v>0.62608414744211405</v>
      </c>
      <c r="L16" s="8">
        <v>0.62899764350684495</v>
      </c>
      <c r="M16" s="8">
        <v>9.1060303861462202E-2</v>
      </c>
      <c r="N16" s="8">
        <v>9.0490675152515299E-2</v>
      </c>
      <c r="O16" s="8">
        <v>0.28353067010040101</v>
      </c>
      <c r="P16" s="8">
        <v>0.29816925538158601</v>
      </c>
      <c r="Q16" s="8">
        <v>0.97234990427199297</v>
      </c>
      <c r="R16" s="8">
        <v>0.95652852422684798</v>
      </c>
      <c r="S16" s="8">
        <v>0.89263891659935302</v>
      </c>
      <c r="T16" s="8">
        <v>0.89795198574043</v>
      </c>
      <c r="U16" s="8">
        <v>0.26064431770174701</v>
      </c>
      <c r="V16" s="8">
        <v>0.12485342516690801</v>
      </c>
      <c r="W16" s="8">
        <v>1.4412078840095</v>
      </c>
      <c r="X16" s="8">
        <v>1.5513062907252999</v>
      </c>
      <c r="Y16" s="8">
        <v>-1.1056018175042399</v>
      </c>
      <c r="Z16" s="8">
        <v>-1.12498724577292</v>
      </c>
      <c r="AA16" s="8">
        <v>-1.1579663511729701</v>
      </c>
      <c r="AB16" s="8">
        <v>-1.15630831720684</v>
      </c>
      <c r="AC16" s="8">
        <v>-1.2039728043259399</v>
      </c>
      <c r="AD16" s="8">
        <v>-1.2039728043259399</v>
      </c>
      <c r="AE16" s="8">
        <v>-1.1769303665770601</v>
      </c>
      <c r="AF16" s="9">
        <v>-1.1549736607002301</v>
      </c>
    </row>
    <row r="17" spans="1:32" x14ac:dyDescent="0.35">
      <c r="A17" s="3" t="s">
        <v>15</v>
      </c>
      <c r="B17" s="5">
        <v>73</v>
      </c>
      <c r="C17" s="5">
        <v>8</v>
      </c>
      <c r="D17" s="5">
        <v>106</v>
      </c>
      <c r="E17" s="5">
        <v>23</v>
      </c>
      <c r="F17" s="5">
        <f>E17-D17</f>
        <v>-83</v>
      </c>
      <c r="G17" s="5">
        <v>117</v>
      </c>
      <c r="H17" s="5">
        <v>67</v>
      </c>
      <c r="I17" s="10">
        <v>0.479678700494443</v>
      </c>
      <c r="J17" s="10">
        <v>0.48554102619647799</v>
      </c>
      <c r="K17" s="10">
        <v>0.62585350347362401</v>
      </c>
      <c r="L17" s="10">
        <v>0.62550644988109405</v>
      </c>
      <c r="M17" s="10">
        <v>9.1123303951501797E-2</v>
      </c>
      <c r="N17" s="10">
        <v>8.6345757498027698E-2</v>
      </c>
      <c r="O17" s="10">
        <v>0.36586657292457803</v>
      </c>
      <c r="P17" s="10">
        <v>0.38754715355713598</v>
      </c>
      <c r="Q17" s="10">
        <v>0.83727496038575699</v>
      </c>
      <c r="R17" s="10">
        <v>0.89894800220193605</v>
      </c>
      <c r="S17" s="10">
        <v>0.84465577517416102</v>
      </c>
      <c r="T17" s="10">
        <v>0.84971587224061296</v>
      </c>
      <c r="U17" s="10">
        <v>0.21800385301667199</v>
      </c>
      <c r="V17" s="10">
        <v>0.17817360310879701</v>
      </c>
      <c r="W17" s="10">
        <v>1.44612692113175</v>
      </c>
      <c r="X17" s="10">
        <v>1.46846331211217</v>
      </c>
      <c r="Y17" s="10">
        <v>-1.0390181239504599</v>
      </c>
      <c r="Z17" s="10">
        <v>-1.1030885983451399</v>
      </c>
      <c r="AA17" s="10">
        <v>-1.1427044692577699</v>
      </c>
      <c r="AB17" s="10">
        <v>-1.1623130691646</v>
      </c>
      <c r="AC17" s="10">
        <v>-1.1996670394867199</v>
      </c>
      <c r="AD17" s="10">
        <v>-1.2025182664655301</v>
      </c>
      <c r="AE17" s="10">
        <v>-1.03998490614716</v>
      </c>
      <c r="AF17" s="11">
        <v>-1.08405642313424</v>
      </c>
    </row>
    <row r="18" spans="1:32" x14ac:dyDescent="0.35">
      <c r="A18" s="2" t="s">
        <v>16</v>
      </c>
      <c r="B18" s="5">
        <v>67</v>
      </c>
      <c r="C18" s="5">
        <v>13</v>
      </c>
      <c r="D18" s="5">
        <v>107</v>
      </c>
      <c r="E18" s="5">
        <v>26</v>
      </c>
      <c r="F18" s="5">
        <v>42</v>
      </c>
      <c r="G18" s="5">
        <v>121</v>
      </c>
      <c r="H18" s="5">
        <v>86</v>
      </c>
      <c r="I18" s="8">
        <v>0.49753809969839502</v>
      </c>
      <c r="J18" s="8">
        <v>0.50111165426085602</v>
      </c>
      <c r="K18" s="8">
        <v>0.62879789739911796</v>
      </c>
      <c r="L18" s="8">
        <v>0.62954424060107095</v>
      </c>
      <c r="M18" s="8">
        <v>6.8374071577883E-2</v>
      </c>
      <c r="N18" s="8">
        <v>7.90652753831243E-2</v>
      </c>
      <c r="O18" s="8">
        <v>0.30235476516250598</v>
      </c>
      <c r="P18" s="8">
        <v>0.31449110547484499</v>
      </c>
      <c r="Q18" s="8">
        <v>0.958351564564356</v>
      </c>
      <c r="R18" s="8">
        <v>0.95607101634630898</v>
      </c>
      <c r="S18" s="8">
        <v>0.87845758628776704</v>
      </c>
      <c r="T18" s="8">
        <v>0.91338508947321995</v>
      </c>
      <c r="U18" s="8">
        <v>2.0344672012372399E-2</v>
      </c>
      <c r="V18" s="8">
        <v>3.5977892078032002E-2</v>
      </c>
      <c r="W18" s="8">
        <v>1.5319883011182001</v>
      </c>
      <c r="X18" s="8">
        <v>1.4481060516466799</v>
      </c>
      <c r="Y18" s="8">
        <v>-1.1213377101869799</v>
      </c>
      <c r="Z18" s="8">
        <v>-1.13004440772392</v>
      </c>
      <c r="AA18" s="8">
        <v>-1.1334960232556299</v>
      </c>
      <c r="AB18" s="8">
        <v>-1.13848148619459</v>
      </c>
      <c r="AC18" s="8">
        <v>-1.2039728043259399</v>
      </c>
      <c r="AD18" s="8">
        <v>-1.2039728043259399</v>
      </c>
      <c r="AE18" s="8">
        <v>-1.1791328966543599</v>
      </c>
      <c r="AF18" s="9">
        <v>-1.1549425463845899</v>
      </c>
    </row>
    <row r="19" spans="1:32" x14ac:dyDescent="0.35">
      <c r="A19" s="3" t="s">
        <v>17</v>
      </c>
      <c r="B19" s="5">
        <v>72</v>
      </c>
      <c r="C19" s="5">
        <v>13</v>
      </c>
      <c r="D19" s="5">
        <v>129</v>
      </c>
      <c r="E19" s="5">
        <v>24</v>
      </c>
      <c r="F19" s="5">
        <v>84</v>
      </c>
      <c r="G19" s="5">
        <v>175</v>
      </c>
      <c r="H19" s="5">
        <v>34</v>
      </c>
      <c r="I19" s="10">
        <v>0.51161786775089402</v>
      </c>
      <c r="J19" s="10">
        <v>0.51157973173810001</v>
      </c>
      <c r="K19" s="10">
        <v>0.62458134178793401</v>
      </c>
      <c r="L19" s="10">
        <v>0.62470702850361204</v>
      </c>
      <c r="M19" s="10">
        <v>8.2977026999734999E-2</v>
      </c>
      <c r="N19" s="10">
        <v>8.3543462650946004E-2</v>
      </c>
      <c r="O19" s="10">
        <v>0.31430860119405701</v>
      </c>
      <c r="P19" s="10">
        <v>0.30705953360566601</v>
      </c>
      <c r="Q19" s="10">
        <v>0.94491136170649404</v>
      </c>
      <c r="R19" s="10">
        <v>0.90866030245041496</v>
      </c>
      <c r="S19" s="10">
        <v>0.92529379503306297</v>
      </c>
      <c r="T19" s="10">
        <v>0.89501397009280503</v>
      </c>
      <c r="U19" s="10">
        <v>0.16852825011053699</v>
      </c>
      <c r="V19" s="10">
        <v>7.7653332805874997E-2</v>
      </c>
      <c r="W19" s="10">
        <v>1.5857265751119001</v>
      </c>
      <c r="X19" s="10">
        <v>1.4182355241260101</v>
      </c>
      <c r="Y19" s="10">
        <v>-1.1322827113988601</v>
      </c>
      <c r="Z19" s="10">
        <v>-1.08267311229554</v>
      </c>
      <c r="AA19" s="10">
        <v>-1.1678181972375501</v>
      </c>
      <c r="AB19" s="10">
        <v>-1.1669917821323801</v>
      </c>
      <c r="AC19" s="10">
        <v>-1.2039728043259399</v>
      </c>
      <c r="AD19" s="10">
        <v>-1.2039728043259399</v>
      </c>
      <c r="AE19" s="10">
        <v>-1.1590015633063799</v>
      </c>
      <c r="AF19" s="11">
        <v>-1.1506444232086299</v>
      </c>
    </row>
    <row r="20" spans="1:32" x14ac:dyDescent="0.35">
      <c r="A20" s="2" t="s">
        <v>18</v>
      </c>
      <c r="B20" s="5">
        <v>65</v>
      </c>
      <c r="C20" s="5">
        <v>13</v>
      </c>
      <c r="D20" s="5">
        <v>123</v>
      </c>
      <c r="E20" s="5">
        <v>24</v>
      </c>
      <c r="F20" s="5">
        <f>E20-D20</f>
        <v>-99</v>
      </c>
      <c r="G20" s="5">
        <v>150</v>
      </c>
      <c r="H20" s="5">
        <v>90</v>
      </c>
      <c r="I20" s="8">
        <v>0.48914818169499302</v>
      </c>
      <c r="J20" s="8">
        <v>0.49998994325861001</v>
      </c>
      <c r="K20" s="8">
        <v>0.62593440026881397</v>
      </c>
      <c r="L20" s="8">
        <v>0.62107089328412901</v>
      </c>
      <c r="M20" s="8">
        <v>7.9151139164140794E-2</v>
      </c>
      <c r="N20" s="8">
        <v>8.3002597101896503E-2</v>
      </c>
      <c r="O20" s="8">
        <v>0.37981932091501502</v>
      </c>
      <c r="P20" s="8">
        <v>0.37718015076530198</v>
      </c>
      <c r="Q20" s="8">
        <v>0.94514557129365195</v>
      </c>
      <c r="R20" s="8">
        <v>0.94007380629015203</v>
      </c>
      <c r="S20" s="8">
        <v>0.89204291876536301</v>
      </c>
      <c r="T20" s="8">
        <v>0.86203163160488905</v>
      </c>
      <c r="U20" s="8">
        <v>0.20103550613011401</v>
      </c>
      <c r="V20" s="8">
        <v>8.3988725120065097E-2</v>
      </c>
      <c r="W20" s="8">
        <v>1.46370674793038</v>
      </c>
      <c r="X20" s="8">
        <v>1.5175067371973601</v>
      </c>
      <c r="Y20" s="8">
        <v>-1.0725191533965399</v>
      </c>
      <c r="Z20" s="8">
        <v>-1.1355141985945101</v>
      </c>
      <c r="AA20" s="8">
        <v>-1.1721004738524401</v>
      </c>
      <c r="AB20" s="8">
        <v>-1.1507733657386801</v>
      </c>
      <c r="AC20" s="8">
        <v>-1.2039728043259399</v>
      </c>
      <c r="AD20" s="8">
        <v>-1.2039728043259399</v>
      </c>
      <c r="AE20" s="8">
        <v>-1.19152950564741</v>
      </c>
      <c r="AF20" s="9">
        <v>-1.13857001222575</v>
      </c>
    </row>
    <row r="21" spans="1:32" x14ac:dyDescent="0.35">
      <c r="A21" s="3" t="s">
        <v>19</v>
      </c>
      <c r="B21" s="5">
        <v>76</v>
      </c>
      <c r="C21" s="5">
        <v>15</v>
      </c>
      <c r="D21" s="5">
        <v>129</v>
      </c>
      <c r="E21" s="5">
        <v>26</v>
      </c>
      <c r="F21" s="5">
        <f>100-D21</f>
        <v>-29</v>
      </c>
      <c r="G21" s="5">
        <v>117</v>
      </c>
      <c r="H21" s="5">
        <v>59</v>
      </c>
      <c r="I21" s="10">
        <v>0.49415704343737299</v>
      </c>
      <c r="J21" s="10">
        <v>0.49835301467083898</v>
      </c>
      <c r="K21" s="10">
        <v>0.62784686973095505</v>
      </c>
      <c r="L21" s="10">
        <v>0.62807194830300395</v>
      </c>
      <c r="M21" s="10">
        <v>8.4727275145903003E-2</v>
      </c>
      <c r="N21" s="10">
        <v>9.3263222396434406E-2</v>
      </c>
      <c r="O21" s="10">
        <v>0.33807860769362302</v>
      </c>
      <c r="P21" s="10">
        <v>0.32549141875526599</v>
      </c>
      <c r="Q21" s="10">
        <v>0.87510678311768797</v>
      </c>
      <c r="R21" s="10">
        <v>0.88577831967007203</v>
      </c>
      <c r="S21" s="10">
        <v>0.92935795057053605</v>
      </c>
      <c r="T21" s="10">
        <v>0.90921904016770205</v>
      </c>
      <c r="U21" s="10">
        <v>0.226898543254582</v>
      </c>
      <c r="V21" s="10">
        <v>0.21294540708227999</v>
      </c>
      <c r="W21" s="10">
        <v>1.5530209016840399</v>
      </c>
      <c r="X21" s="10">
        <v>1.5106364944047299</v>
      </c>
      <c r="Y21" s="10">
        <v>-1.09265231363719</v>
      </c>
      <c r="Z21" s="10">
        <v>-1.07322759635999</v>
      </c>
      <c r="AA21" s="10">
        <v>-1.17897972786611</v>
      </c>
      <c r="AB21" s="10">
        <v>-1.1801166540640999</v>
      </c>
      <c r="AC21" s="10">
        <v>-1.2039728043259399</v>
      </c>
      <c r="AD21" s="10">
        <v>-1.2015798327713501</v>
      </c>
      <c r="AE21" s="10">
        <v>-1.17340010512066</v>
      </c>
      <c r="AF21" s="11">
        <v>-1.1469496206043699</v>
      </c>
    </row>
    <row r="22" spans="1:32" x14ac:dyDescent="0.35">
      <c r="A22" s="2" t="s">
        <v>20</v>
      </c>
      <c r="B22" s="5">
        <v>65</v>
      </c>
      <c r="C22" s="5">
        <v>17</v>
      </c>
      <c r="D22" s="5">
        <v>131</v>
      </c>
      <c r="E22" s="5">
        <v>26</v>
      </c>
      <c r="F22" s="5">
        <v>51</v>
      </c>
      <c r="G22" s="5"/>
      <c r="H22" s="5"/>
      <c r="I22" s="8">
        <v>0.51345151222547203</v>
      </c>
      <c r="J22" s="8">
        <v>0.51270206225733805</v>
      </c>
      <c r="K22" s="8">
        <v>0.62731192429115001</v>
      </c>
      <c r="L22" s="8">
        <v>0.62888453093288599</v>
      </c>
      <c r="M22" s="8">
        <v>6.6072696677475798E-2</v>
      </c>
      <c r="N22" s="8">
        <v>6.5583024596171505E-2</v>
      </c>
      <c r="O22" s="8">
        <v>0.317663212747748</v>
      </c>
      <c r="P22" s="8">
        <v>0.329958392806811</v>
      </c>
      <c r="Q22" s="8">
        <v>0.93670707768212902</v>
      </c>
      <c r="R22" s="8">
        <v>0.94039386402740399</v>
      </c>
      <c r="S22" s="8">
        <v>0.92255996451064304</v>
      </c>
      <c r="T22" s="8">
        <v>0.94046633383494105</v>
      </c>
      <c r="U22" s="8">
        <v>9.7361025407921895E-2</v>
      </c>
      <c r="V22" s="8">
        <v>1.7165817010439201E-2</v>
      </c>
      <c r="W22" s="8">
        <v>1.6469259594330501</v>
      </c>
      <c r="X22" s="8">
        <v>1.5732844928068901</v>
      </c>
      <c r="Y22" s="8">
        <v>-1.1149849646425101</v>
      </c>
      <c r="Z22" s="8">
        <v>-1.08153475483985</v>
      </c>
      <c r="AA22" s="8">
        <v>-1.15328624131692</v>
      </c>
      <c r="AB22" s="8">
        <v>-1.1615505166067499</v>
      </c>
      <c r="AC22" s="8">
        <v>-1.2039728043259399</v>
      </c>
      <c r="AD22" s="8">
        <v>-1.2039728043259399</v>
      </c>
      <c r="AE22" s="8">
        <v>-1.17329152975333</v>
      </c>
      <c r="AF22" s="9">
        <v>-1.16407245172956</v>
      </c>
    </row>
    <row r="23" spans="1:32" x14ac:dyDescent="0.35">
      <c r="A23" s="3" t="s">
        <v>21</v>
      </c>
      <c r="B23" s="5">
        <v>72</v>
      </c>
      <c r="C23" s="5">
        <v>17</v>
      </c>
      <c r="D23" s="5">
        <v>133</v>
      </c>
      <c r="E23" s="5">
        <v>28</v>
      </c>
      <c r="F23" s="5">
        <v>19</v>
      </c>
      <c r="G23" s="5"/>
      <c r="H23" s="5"/>
      <c r="I23" s="10">
        <v>0.493225440138642</v>
      </c>
      <c r="J23" s="10">
        <v>0.50026548023089501</v>
      </c>
      <c r="K23" s="10">
        <v>0.62651576499976303</v>
      </c>
      <c r="L23" s="10">
        <v>0.62691563326546096</v>
      </c>
      <c r="M23" s="10">
        <v>7.4155297778389001E-2</v>
      </c>
      <c r="N23" s="10">
        <v>7.7585882932415598E-2</v>
      </c>
      <c r="O23" s="10">
        <v>0.36056284162586699</v>
      </c>
      <c r="P23" s="10">
        <v>0.35924924956159099</v>
      </c>
      <c r="Q23" s="10">
        <v>0.92488556082080198</v>
      </c>
      <c r="R23" s="10">
        <v>0.91390637920779305</v>
      </c>
      <c r="S23" s="10">
        <v>0.84658089288402605</v>
      </c>
      <c r="T23" s="10">
        <v>0.89273449711196096</v>
      </c>
      <c r="U23" s="10">
        <v>1.28360588992582E-2</v>
      </c>
      <c r="V23" s="10">
        <v>4.2313284392221998E-2</v>
      </c>
      <c r="W23" s="10">
        <v>1.41447017896585</v>
      </c>
      <c r="X23" s="10">
        <v>1.4979646767853201</v>
      </c>
      <c r="Y23" s="10">
        <v>-1.1196340379587799</v>
      </c>
      <c r="Z23" s="10">
        <v>-1.1386257983174299</v>
      </c>
      <c r="AA23" s="10">
        <v>-1.07018710940999</v>
      </c>
      <c r="AB23" s="10">
        <v>-1.1452186071583801</v>
      </c>
      <c r="AC23" s="10">
        <v>-1.2039728043259399</v>
      </c>
      <c r="AD23" s="10">
        <v>-1.2039728043259399</v>
      </c>
      <c r="AE23" s="10">
        <v>-1.1775458399046601</v>
      </c>
      <c r="AF23" s="11">
        <v>-1.1635034453782001</v>
      </c>
    </row>
    <row r="24" spans="1:32" x14ac:dyDescent="0.35">
      <c r="A24" s="2" t="s">
        <v>22</v>
      </c>
      <c r="B24" s="5">
        <v>73</v>
      </c>
      <c r="C24" s="5">
        <v>13</v>
      </c>
      <c r="D24" s="5">
        <v>120</v>
      </c>
      <c r="E24" s="5">
        <v>27</v>
      </c>
      <c r="F24" s="5">
        <f>107-60</f>
        <v>47</v>
      </c>
      <c r="G24" s="5">
        <v>97</v>
      </c>
      <c r="H24" s="5"/>
      <c r="I24" s="8">
        <v>0.50448439856382299</v>
      </c>
      <c r="J24" s="8">
        <v>0.50035097574855503</v>
      </c>
      <c r="K24" s="8">
        <v>0.628351373665753</v>
      </c>
      <c r="L24" s="8">
        <v>0.62500458362042799</v>
      </c>
      <c r="M24" s="8">
        <v>8.8657548094355207E-2</v>
      </c>
      <c r="N24" s="8">
        <v>8.9974906523807005E-2</v>
      </c>
      <c r="O24" s="8">
        <v>0.32497283159583201</v>
      </c>
      <c r="P24" s="8">
        <v>0.33426116107868498</v>
      </c>
      <c r="Q24" s="8">
        <v>0.97222685708405399</v>
      </c>
      <c r="R24" s="8">
        <v>0.88918875619711502</v>
      </c>
      <c r="S24" s="8">
        <v>0.90174328898573997</v>
      </c>
      <c r="T24" s="8">
        <v>0.88468048469926996</v>
      </c>
      <c r="U24" s="8">
        <v>0.19352689301699999</v>
      </c>
      <c r="V24" s="8">
        <v>0.28902565289200799</v>
      </c>
      <c r="W24" s="8">
        <v>1.5668583643079299</v>
      </c>
      <c r="X24" s="8">
        <v>1.5326395478528501</v>
      </c>
      <c r="Y24" s="8">
        <v>-1.0900062510592901</v>
      </c>
      <c r="Z24" s="8">
        <v>-1.1210383944388</v>
      </c>
      <c r="AA24" s="8">
        <v>-1.11237465016836</v>
      </c>
      <c r="AB24" s="8">
        <v>-1.1693964897765801</v>
      </c>
      <c r="AC24" s="8">
        <v>-1.2039728043259399</v>
      </c>
      <c r="AD24" s="8">
        <v>-1.2039728043259399</v>
      </c>
      <c r="AE24" s="8">
        <v>-1.1915264836656001</v>
      </c>
      <c r="AF24" s="9">
        <v>-1.1724732499342601</v>
      </c>
    </row>
    <row r="25" spans="1:32" x14ac:dyDescent="0.35">
      <c r="A25" s="3" t="s">
        <v>23</v>
      </c>
      <c r="B25" s="5">
        <v>72</v>
      </c>
      <c r="C25" s="5">
        <v>8</v>
      </c>
      <c r="D25" s="5">
        <v>86</v>
      </c>
      <c r="E25" s="5">
        <v>27</v>
      </c>
      <c r="F25" s="5">
        <f>E25-D25</f>
        <v>-59</v>
      </c>
      <c r="G25" s="5">
        <v>101</v>
      </c>
      <c r="H25" s="5">
        <v>54</v>
      </c>
      <c r="I25" s="10">
        <v>0.51632723667745195</v>
      </c>
      <c r="J25" s="10">
        <v>0.52144596225273199</v>
      </c>
      <c r="K25" s="10">
        <v>0.62684561991655596</v>
      </c>
      <c r="L25" s="10">
        <v>0.62526197759171898</v>
      </c>
      <c r="M25" s="10">
        <v>8.9516553142350602E-2</v>
      </c>
      <c r="N25" s="10">
        <v>9.3089943819564896E-2</v>
      </c>
      <c r="O25" s="10">
        <v>0.31797974360299103</v>
      </c>
      <c r="P25" s="10">
        <v>0.31183679726074498</v>
      </c>
      <c r="Q25" s="10">
        <v>0.92613186932269198</v>
      </c>
      <c r="R25" s="10">
        <v>0.94569251745406901</v>
      </c>
      <c r="S25" s="10">
        <v>0.88161245625748996</v>
      </c>
      <c r="T25" s="10">
        <v>0.90099913282525401</v>
      </c>
      <c r="U25" s="10">
        <v>0.19570806034397001</v>
      </c>
      <c r="V25" s="10">
        <v>0.139787106658464</v>
      </c>
      <c r="W25" s="10">
        <v>1.5646167932331301</v>
      </c>
      <c r="X25" s="10">
        <v>1.6286977484393901</v>
      </c>
      <c r="Y25" s="10">
        <v>-1.1051886518795899</v>
      </c>
      <c r="Z25" s="10">
        <v>-1.1209960504676599</v>
      </c>
      <c r="AA25" s="10">
        <v>-1.1689028846701099</v>
      </c>
      <c r="AB25" s="10">
        <v>-1.19182309847504</v>
      </c>
      <c r="AC25" s="10">
        <v>-1.2039728043259399</v>
      </c>
      <c r="AD25" s="10">
        <v>-1.2039728043259399</v>
      </c>
      <c r="AE25" s="10">
        <v>-1.1687090890006699</v>
      </c>
      <c r="AF25" s="11">
        <v>-1.1898238257018201</v>
      </c>
    </row>
    <row r="26" spans="1:32" x14ac:dyDescent="0.35">
      <c r="A26" s="2" t="s">
        <v>24</v>
      </c>
      <c r="B26" s="5">
        <v>65</v>
      </c>
      <c r="C26" s="5">
        <v>11</v>
      </c>
      <c r="D26" s="5">
        <v>101</v>
      </c>
      <c r="E26" s="5">
        <v>25</v>
      </c>
      <c r="F26" s="5">
        <v>70</v>
      </c>
      <c r="G26" s="5">
        <v>134</v>
      </c>
      <c r="H26" s="5">
        <v>119</v>
      </c>
      <c r="I26" s="8">
        <v>0.50361512311784695</v>
      </c>
      <c r="J26" s="8">
        <v>0.50655564235319706</v>
      </c>
      <c r="K26" s="8">
        <v>0.62364938600499797</v>
      </c>
      <c r="L26" s="8">
        <v>0.62426261480966005</v>
      </c>
      <c r="M26" s="8">
        <v>7.1443056034051405E-2</v>
      </c>
      <c r="N26" s="8">
        <v>7.2439784507318694E-2</v>
      </c>
      <c r="O26" s="8">
        <v>0.32454815175531798</v>
      </c>
      <c r="P26" s="8">
        <v>0.32805155633468802</v>
      </c>
      <c r="Q26" s="8">
        <v>0.958401678110959</v>
      </c>
      <c r="R26" s="8">
        <v>0.97351811119695097</v>
      </c>
      <c r="S26" s="8">
        <v>0.86010934225830804</v>
      </c>
      <c r="T26" s="8">
        <v>0.85980025567825702</v>
      </c>
      <c r="U26" s="8">
        <v>0</v>
      </c>
      <c r="V26" s="8">
        <v>0.120975031590872</v>
      </c>
      <c r="W26" s="8">
        <v>1.5770320548571599</v>
      </c>
      <c r="X26" s="8">
        <v>1.5938706288723199</v>
      </c>
      <c r="Y26" s="8">
        <v>-1.14128774756587</v>
      </c>
      <c r="Z26" s="8">
        <v>-1.1179819855420701</v>
      </c>
      <c r="AA26" s="8">
        <v>-1.1477043248365699</v>
      </c>
      <c r="AB26" s="8">
        <v>-1.1792941553213001</v>
      </c>
      <c r="AC26" s="8">
        <v>-1.2039728043259399</v>
      </c>
      <c r="AD26" s="8">
        <v>-1.2039728043259399</v>
      </c>
      <c r="AE26" s="8">
        <v>-1.18629764422966</v>
      </c>
      <c r="AF26" s="9">
        <v>-1.16871805767339</v>
      </c>
    </row>
    <row r="27" spans="1:32" x14ac:dyDescent="0.35">
      <c r="A27" s="3" t="s">
        <v>25</v>
      </c>
      <c r="B27" s="5">
        <v>71</v>
      </c>
      <c r="C27" s="5">
        <v>13</v>
      </c>
      <c r="D27" s="5">
        <v>112</v>
      </c>
      <c r="E27" s="5">
        <v>27</v>
      </c>
      <c r="F27" s="5">
        <f t="shared" ref="F27:F28" si="0">E27-D27</f>
        <v>-85</v>
      </c>
      <c r="G27" s="5">
        <v>175</v>
      </c>
      <c r="H27" s="5">
        <v>82</v>
      </c>
      <c r="I27" s="10">
        <v>0.52011332915812203</v>
      </c>
      <c r="J27" s="10">
        <v>0.51892928129890203</v>
      </c>
      <c r="K27" s="10">
        <v>0.62721391048755704</v>
      </c>
      <c r="L27" s="10">
        <v>0.62436548549400495</v>
      </c>
      <c r="M27" s="10">
        <v>9.4220778067499206E-2</v>
      </c>
      <c r="N27" s="10">
        <v>9.9992166223630496E-2</v>
      </c>
      <c r="O27" s="10">
        <v>0.30503254674755098</v>
      </c>
      <c r="P27" s="10">
        <v>0.31400140173339702</v>
      </c>
      <c r="Q27" s="10">
        <v>0.79690629283858505</v>
      </c>
      <c r="R27" s="10">
        <v>0.80095829620270598</v>
      </c>
      <c r="S27" s="10">
        <v>0.92273077234224998</v>
      </c>
      <c r="T27" s="10">
        <v>0.94165957897742003</v>
      </c>
      <c r="U27" s="10">
        <v>0.155774679180711</v>
      </c>
      <c r="V27" s="10">
        <v>0.27823586540982198</v>
      </c>
      <c r="W27" s="10">
        <v>1.5062478776144399</v>
      </c>
      <c r="X27" s="10">
        <v>1.54564311782615</v>
      </c>
      <c r="Y27" s="10">
        <v>-1.0567201565984501</v>
      </c>
      <c r="Z27" s="10">
        <v>-1.15259163049962</v>
      </c>
      <c r="AA27" s="10">
        <v>-1.16249686355296</v>
      </c>
      <c r="AB27" s="10">
        <v>-1.1937322236941299</v>
      </c>
      <c r="AC27" s="10">
        <v>-1.2039728043259399</v>
      </c>
      <c r="AD27" s="10">
        <v>-1.2039728043259399</v>
      </c>
      <c r="AE27" s="10">
        <v>-1.1876755926070699</v>
      </c>
      <c r="AF27" s="11">
        <v>-1.1898733965164301</v>
      </c>
    </row>
    <row r="28" spans="1:32" x14ac:dyDescent="0.35">
      <c r="A28" s="2" t="s">
        <v>26</v>
      </c>
      <c r="B28" s="5">
        <v>75</v>
      </c>
      <c r="C28" s="5">
        <v>13</v>
      </c>
      <c r="D28" s="5">
        <v>107</v>
      </c>
      <c r="E28" s="5">
        <v>28</v>
      </c>
      <c r="F28" s="5">
        <f t="shared" si="0"/>
        <v>-79</v>
      </c>
      <c r="G28" s="5">
        <v>95</v>
      </c>
      <c r="H28" s="5">
        <v>71</v>
      </c>
      <c r="I28" s="8">
        <v>0.50061013566122503</v>
      </c>
      <c r="J28" s="8">
        <v>0.50902817698071001</v>
      </c>
      <c r="K28" s="8">
        <v>0.62674272196495195</v>
      </c>
      <c r="L28" s="8">
        <v>0.62869611752811805</v>
      </c>
      <c r="M28" s="8">
        <v>9.0466630830520103E-2</v>
      </c>
      <c r="N28" s="8">
        <v>8.8814648784447198E-2</v>
      </c>
      <c r="O28" s="8">
        <v>0.30228338956299899</v>
      </c>
      <c r="P28" s="8">
        <v>0.303347771443854</v>
      </c>
      <c r="Q28" s="8">
        <v>0.90974465676776395</v>
      </c>
      <c r="R28" s="8">
        <v>0.90990522127146301</v>
      </c>
      <c r="S28" s="8">
        <v>0.88748599656507399</v>
      </c>
      <c r="T28" s="8">
        <v>0.86580575030131901</v>
      </c>
      <c r="U28" s="8">
        <v>0.12792139405522501</v>
      </c>
      <c r="V28" s="8">
        <v>0.171907810018816</v>
      </c>
      <c r="W28" s="8">
        <v>1.5006081196462</v>
      </c>
      <c r="X28" s="8">
        <v>1.5174818886216199</v>
      </c>
      <c r="Y28" s="8">
        <v>-1.1631299764423699</v>
      </c>
      <c r="Z28" s="8">
        <v>-1.1184370999447799</v>
      </c>
      <c r="AA28" s="8">
        <v>-1.17442020029741</v>
      </c>
      <c r="AB28" s="8">
        <v>-1.1375807614097799</v>
      </c>
      <c r="AC28" s="8">
        <v>-1.2039728043259399</v>
      </c>
      <c r="AD28" s="8">
        <v>-1.2039728043259399</v>
      </c>
      <c r="AE28" s="8">
        <v>-1.1775415285135999</v>
      </c>
      <c r="AF28" s="9">
        <v>-1.15780828819665</v>
      </c>
    </row>
    <row r="29" spans="1:32" x14ac:dyDescent="0.35">
      <c r="A29" s="3" t="s">
        <v>27</v>
      </c>
      <c r="B29" s="5">
        <v>69</v>
      </c>
      <c r="C29" s="5">
        <v>17</v>
      </c>
      <c r="D29" s="5">
        <v>127</v>
      </c>
      <c r="E29" s="5">
        <v>27</v>
      </c>
      <c r="F29" s="5">
        <f>82-48</f>
        <v>34</v>
      </c>
      <c r="G29" s="5">
        <v>114</v>
      </c>
      <c r="H29" s="5">
        <v>69</v>
      </c>
      <c r="I29" s="10">
        <v>0.47006563334739199</v>
      </c>
      <c r="J29" s="10">
        <v>0.46801823147462401</v>
      </c>
      <c r="K29" s="10">
        <v>0.62133086504488799</v>
      </c>
      <c r="L29" s="10">
        <v>0.62020129787295897</v>
      </c>
      <c r="M29" s="10">
        <v>9.2916065493344802E-2</v>
      </c>
      <c r="N29" s="10">
        <v>9.1362025494500995E-2</v>
      </c>
      <c r="O29" s="10">
        <v>0.404616764221503</v>
      </c>
      <c r="P29" s="10">
        <v>0.406683498404525</v>
      </c>
      <c r="Q29" s="10">
        <v>0.92936921528081895</v>
      </c>
      <c r="R29" s="10">
        <v>0.90443793264272898</v>
      </c>
      <c r="S29" s="10">
        <v>0.86685134723583601</v>
      </c>
      <c r="T29" s="10">
        <v>0.84652501138139602</v>
      </c>
      <c r="U29" s="10">
        <v>0.28346565050240002</v>
      </c>
      <c r="V29" s="10">
        <v>0.22726244976781401</v>
      </c>
      <c r="W29" s="10">
        <v>1.3013376939007699</v>
      </c>
      <c r="X29" s="10">
        <v>1.3667529492486099</v>
      </c>
      <c r="Y29" s="10">
        <v>-1.1114444302398001</v>
      </c>
      <c r="Z29" s="10">
        <v>-1.1199374487782501</v>
      </c>
      <c r="AA29" s="10">
        <v>-1.19697680221753</v>
      </c>
      <c r="AB29" s="10">
        <v>-1.16279809240291</v>
      </c>
      <c r="AC29" s="10">
        <v>-1.2039728043259399</v>
      </c>
      <c r="AD29" s="10">
        <v>-1.2039728043259399</v>
      </c>
      <c r="AE29" s="10">
        <v>-1.11185796043283</v>
      </c>
      <c r="AF29" s="11">
        <v>-1.1438048037847199</v>
      </c>
    </row>
    <row r="30" spans="1:32" x14ac:dyDescent="0.35">
      <c r="A30" s="2" t="s">
        <v>28</v>
      </c>
      <c r="B30" s="5">
        <v>65</v>
      </c>
      <c r="C30" s="5">
        <v>15</v>
      </c>
      <c r="D30" s="5">
        <v>120</v>
      </c>
      <c r="E30" s="5">
        <v>29</v>
      </c>
      <c r="F30" s="5">
        <f>E30-D30</f>
        <v>-91</v>
      </c>
      <c r="G30" s="5">
        <v>160</v>
      </c>
      <c r="H30" s="5">
        <v>70</v>
      </c>
      <c r="I30" s="8">
        <v>0.52526556066427799</v>
      </c>
      <c r="J30" s="8">
        <v>0.52236174588416295</v>
      </c>
      <c r="K30" s="8">
        <v>0.62151460615806498</v>
      </c>
      <c r="L30" s="8">
        <v>0.61990209206255797</v>
      </c>
      <c r="M30" s="8">
        <v>8.37085780160403E-2</v>
      </c>
      <c r="N30" s="8">
        <v>8.1480370968705598E-2</v>
      </c>
      <c r="O30" s="8">
        <v>0.30473888258057402</v>
      </c>
      <c r="P30" s="8">
        <v>0.32175509128716401</v>
      </c>
      <c r="Q30" s="8">
        <v>0.79804320139482698</v>
      </c>
      <c r="R30" s="8">
        <v>0.78656309325168605</v>
      </c>
      <c r="S30" s="8">
        <v>0.87258118945079999</v>
      </c>
      <c r="T30" s="8">
        <v>0.84574345619911395</v>
      </c>
      <c r="U30" s="8">
        <v>0.109001926508336</v>
      </c>
      <c r="V30" s="8">
        <v>0.179445718600758</v>
      </c>
      <c r="W30" s="8">
        <v>1.5571685213823401</v>
      </c>
      <c r="X30" s="8">
        <v>1.4241828825876499</v>
      </c>
      <c r="Y30" s="8">
        <v>-1.06911558059428</v>
      </c>
      <c r="Z30" s="8">
        <v>-1.13972397090327</v>
      </c>
      <c r="AA30" s="8">
        <v>-1.14977594377078</v>
      </c>
      <c r="AB30" s="8">
        <v>-1.1681332345384201</v>
      </c>
      <c r="AC30" s="8">
        <v>-1.2039728043259399</v>
      </c>
      <c r="AD30" s="8">
        <v>-1.2039728043259399</v>
      </c>
      <c r="AE30" s="8">
        <v>-1.1943358018411001</v>
      </c>
      <c r="AF30" s="9">
        <v>-1.1581861566751299</v>
      </c>
    </row>
    <row r="31" spans="1:32" x14ac:dyDescent="0.35">
      <c r="A31" s="3" t="s">
        <v>29</v>
      </c>
      <c r="B31" s="5">
        <v>76</v>
      </c>
      <c r="C31" s="5">
        <v>13</v>
      </c>
      <c r="D31" s="5">
        <v>128</v>
      </c>
      <c r="E31" s="5">
        <v>30</v>
      </c>
      <c r="F31" s="5">
        <v>95</v>
      </c>
      <c r="G31" s="5">
        <v>91</v>
      </c>
      <c r="H31" s="5">
        <v>78</v>
      </c>
      <c r="I31" s="10">
        <v>0.51415534575178801</v>
      </c>
      <c r="J31" s="10">
        <v>0.51509697510071795</v>
      </c>
      <c r="K31" s="10">
        <v>0.62555521167635897</v>
      </c>
      <c r="L31" s="10">
        <v>0.62635918973412796</v>
      </c>
      <c r="M31" s="10">
        <v>7.8749383915539595E-2</v>
      </c>
      <c r="N31" s="10">
        <v>7.6233538729108402E-2</v>
      </c>
      <c r="O31" s="10">
        <v>0.31013227747021199</v>
      </c>
      <c r="P31" s="10">
        <v>0.31689049268731201</v>
      </c>
      <c r="Q31" s="10">
        <v>0.93955009358560204</v>
      </c>
      <c r="R31" s="10">
        <v>0.96441621951148904</v>
      </c>
      <c r="S31" s="10">
        <v>0.89258284423863798</v>
      </c>
      <c r="T31" s="10">
        <v>0.89425983834068001</v>
      </c>
      <c r="U31" s="10">
        <v>5.88528487101471E-2</v>
      </c>
      <c r="V31" s="10">
        <v>6.0487515795435799E-2</v>
      </c>
      <c r="W31" s="10">
        <v>1.5174621259233501</v>
      </c>
      <c r="X31" s="10">
        <v>1.52405503917671</v>
      </c>
      <c r="Y31" s="10">
        <v>-1.1505037039617401</v>
      </c>
      <c r="Z31" s="10">
        <v>-1.13357996524534</v>
      </c>
      <c r="AA31" s="10">
        <v>-1.1718888369059099</v>
      </c>
      <c r="AB31" s="10">
        <v>-1.1674227068454199</v>
      </c>
      <c r="AC31" s="10">
        <v>-1.2039728043259399</v>
      </c>
      <c r="AD31" s="10">
        <v>-1.2039728043259399</v>
      </c>
      <c r="AE31" s="10">
        <v>-1.13558095251861</v>
      </c>
      <c r="AF31" s="11">
        <v>-1.1647067895333401</v>
      </c>
    </row>
    <row r="32" spans="1:32" x14ac:dyDescent="0.35">
      <c r="A32" s="2" t="s">
        <v>30</v>
      </c>
      <c r="B32" s="5">
        <v>81</v>
      </c>
      <c r="C32" s="5">
        <v>17</v>
      </c>
      <c r="D32" s="5">
        <v>115</v>
      </c>
      <c r="E32" s="5">
        <v>27</v>
      </c>
      <c r="F32" s="5">
        <f t="shared" ref="F32:F34" si="1">E32-D32</f>
        <v>-88</v>
      </c>
      <c r="G32" s="5"/>
      <c r="H32" s="5"/>
      <c r="I32" s="8">
        <v>0.50934561665576294</v>
      </c>
      <c r="J32" s="8">
        <v>0.514444904448072</v>
      </c>
      <c r="K32" s="8">
        <v>0.62829501315644498</v>
      </c>
      <c r="L32" s="8">
        <v>0.62717337042155197</v>
      </c>
      <c r="M32" s="8">
        <v>7.0170189153785104E-2</v>
      </c>
      <c r="N32" s="8">
        <v>7.5470839859674593E-2</v>
      </c>
      <c r="O32" s="8">
        <v>0.32661079647459501</v>
      </c>
      <c r="P32" s="8">
        <v>0.33125764199942298</v>
      </c>
      <c r="Q32" s="8">
        <v>0.92846948963278197</v>
      </c>
      <c r="R32" s="8">
        <v>0.92010902052046095</v>
      </c>
      <c r="S32" s="8">
        <v>0.89168437933007705</v>
      </c>
      <c r="T32" s="8">
        <v>0.91865724181267805</v>
      </c>
      <c r="U32" s="8">
        <v>2.5672117798516501E-2</v>
      </c>
      <c r="V32" s="8">
        <v>7.1317940491684897E-2</v>
      </c>
      <c r="W32" s="8">
        <v>1.59139426359426</v>
      </c>
      <c r="X32" s="8">
        <v>1.5689782463900099</v>
      </c>
      <c r="Y32" s="8">
        <v>-1.13975473713734</v>
      </c>
      <c r="Z32" s="8">
        <v>-1.07706939965082</v>
      </c>
      <c r="AA32" s="8">
        <v>-1.16022530484057</v>
      </c>
      <c r="AB32" s="8">
        <v>-1.18815795423312</v>
      </c>
      <c r="AC32" s="8">
        <v>-1.2039728043259399</v>
      </c>
      <c r="AD32" s="8">
        <v>-1.2039728043259399</v>
      </c>
      <c r="AE32" s="8">
        <v>-1.16298124404925</v>
      </c>
      <c r="AF32" s="9">
        <v>-1.1733781118415501</v>
      </c>
    </row>
    <row r="33" spans="1:32" x14ac:dyDescent="0.35">
      <c r="A33" s="3" t="s">
        <v>31</v>
      </c>
      <c r="B33" s="5">
        <v>65</v>
      </c>
      <c r="C33" s="5">
        <v>13</v>
      </c>
      <c r="D33" s="5">
        <v>124</v>
      </c>
      <c r="E33" s="5">
        <v>28</v>
      </c>
      <c r="F33" s="5">
        <f t="shared" si="1"/>
        <v>-96</v>
      </c>
      <c r="G33" s="5">
        <v>144</v>
      </c>
      <c r="H33" s="5">
        <v>72</v>
      </c>
      <c r="I33" s="10">
        <v>0.51864826535191899</v>
      </c>
      <c r="J33" s="10">
        <v>0.52485130266525004</v>
      </c>
      <c r="K33" s="10">
        <v>0.62643920620361604</v>
      </c>
      <c r="L33" s="10">
        <v>0.62429945635917194</v>
      </c>
      <c r="M33" s="10">
        <v>7.4139779663140198E-2</v>
      </c>
      <c r="N33" s="10">
        <v>7.9733104515355993E-2</v>
      </c>
      <c r="O33" s="10">
        <v>0.32461082852998402</v>
      </c>
      <c r="P33" s="10">
        <v>0.33418258625705699</v>
      </c>
      <c r="Q33" s="10">
        <v>0.89692173934140096</v>
      </c>
      <c r="R33" s="10">
        <v>0.84432480799410303</v>
      </c>
      <c r="S33" s="10">
        <v>0.88933644845773496</v>
      </c>
      <c r="T33" s="10">
        <v>0.88344821374122795</v>
      </c>
      <c r="U33" s="10">
        <v>6.9216104042284607E-2</v>
      </c>
      <c r="V33" s="10">
        <v>0.105429489536261</v>
      </c>
      <c r="W33" s="10">
        <v>1.5716526606207299</v>
      </c>
      <c r="X33" s="10">
        <v>1.4996950865210501</v>
      </c>
      <c r="Y33" s="10">
        <v>-1.054418110251</v>
      </c>
      <c r="Z33" s="10">
        <v>-1.0567132491215001</v>
      </c>
      <c r="AA33" s="10">
        <v>-1.1618177125040099</v>
      </c>
      <c r="AB33" s="10">
        <v>-1.1649679419605601</v>
      </c>
      <c r="AC33" s="10">
        <v>-1.2039728043259399</v>
      </c>
      <c r="AD33" s="10">
        <v>-1.2039728043259399</v>
      </c>
      <c r="AE33" s="10">
        <v>-1.1866989051439401</v>
      </c>
      <c r="AF33" s="11">
        <v>-1.1557712666275299</v>
      </c>
    </row>
    <row r="34" spans="1:32" x14ac:dyDescent="0.35">
      <c r="A34" s="2" t="s">
        <v>32</v>
      </c>
      <c r="B34" s="5">
        <v>66</v>
      </c>
      <c r="C34" s="5">
        <v>17</v>
      </c>
      <c r="D34" s="5">
        <v>118</v>
      </c>
      <c r="E34" s="5">
        <v>28</v>
      </c>
      <c r="F34" s="5">
        <f t="shared" si="1"/>
        <v>-90</v>
      </c>
      <c r="G34" s="5"/>
      <c r="H34" s="5">
        <v>97</v>
      </c>
      <c r="I34" s="8">
        <v>0.50586838413347102</v>
      </c>
      <c r="J34" s="8">
        <v>0.50320178736789301</v>
      </c>
      <c r="K34" s="8">
        <v>0.62382827872434998</v>
      </c>
      <c r="L34" s="8">
        <v>0.61954040096279295</v>
      </c>
      <c r="M34" s="8">
        <v>9.0548878092233401E-2</v>
      </c>
      <c r="N34" s="8">
        <v>9.1170908293206995E-2</v>
      </c>
      <c r="O34" s="8">
        <v>0.33317022960875398</v>
      </c>
      <c r="P34" s="8">
        <v>0.33490812087225502</v>
      </c>
      <c r="Q34" s="8">
        <v>0.95796137832401895</v>
      </c>
      <c r="R34" s="8">
        <v>0.98075992292372904</v>
      </c>
      <c r="S34" s="8">
        <v>0.83480636935441099</v>
      </c>
      <c r="T34" s="8">
        <v>0.82296573358335701</v>
      </c>
      <c r="U34" s="8">
        <v>0.17873971345741199</v>
      </c>
      <c r="V34" s="8">
        <v>0.180776309356076</v>
      </c>
      <c r="W34" s="8">
        <v>1.52843577755161</v>
      </c>
      <c r="X34" s="8">
        <v>1.55391357204272</v>
      </c>
      <c r="Y34" s="8">
        <v>-1.0994078785892201</v>
      </c>
      <c r="Z34" s="8">
        <v>-1.14817903497595</v>
      </c>
      <c r="AA34" s="8">
        <v>-1.10295167485407</v>
      </c>
      <c r="AB34" s="8">
        <v>-1.13126514204433</v>
      </c>
      <c r="AC34" s="8">
        <v>-1.2039728043259399</v>
      </c>
      <c r="AD34" s="8">
        <v>-1.2039728043259399</v>
      </c>
      <c r="AE34" s="8">
        <v>-1.1530683752195099</v>
      </c>
      <c r="AF34" s="9">
        <v>-1.1453123412650199</v>
      </c>
    </row>
    <row r="35" spans="1:32" x14ac:dyDescent="0.35">
      <c r="A35" s="3" t="s">
        <v>33</v>
      </c>
      <c r="B35" s="5">
        <v>64</v>
      </c>
      <c r="C35" s="5">
        <v>19</v>
      </c>
      <c r="D35" s="5">
        <v>142</v>
      </c>
      <c r="E35" s="5">
        <v>26</v>
      </c>
      <c r="F35" s="5">
        <f>122-29</f>
        <v>93</v>
      </c>
      <c r="G35" s="5">
        <v>122</v>
      </c>
      <c r="H35" s="5">
        <v>74</v>
      </c>
      <c r="I35" s="10">
        <v>0.508899208677977</v>
      </c>
      <c r="J35" s="10">
        <v>0.51560379600429895</v>
      </c>
      <c r="K35" s="10">
        <v>0.625244426365961</v>
      </c>
      <c r="L35" s="10">
        <v>0.62583392214460698</v>
      </c>
      <c r="M35" s="10">
        <v>6.9693146023785194E-2</v>
      </c>
      <c r="N35" s="10">
        <v>7.9608620959132903E-2</v>
      </c>
      <c r="O35" s="10">
        <v>0.34789200814260801</v>
      </c>
      <c r="P35" s="10">
        <v>0.36739203300315298</v>
      </c>
      <c r="Q35" s="10">
        <v>0.76619468984144901</v>
      </c>
      <c r="R35" s="10">
        <v>0.80581169318019896</v>
      </c>
      <c r="S35" s="10">
        <v>0.85876946447840696</v>
      </c>
      <c r="T35" s="10">
        <v>0.89477502167026801</v>
      </c>
      <c r="U35" s="10">
        <v>1.28360588992582E-2</v>
      </c>
      <c r="V35" s="10">
        <v>7.0309526098910405E-2</v>
      </c>
      <c r="W35" s="10">
        <v>1.42276550776095</v>
      </c>
      <c r="X35" s="10">
        <v>1.46146130310842</v>
      </c>
      <c r="Y35" s="10">
        <v>-1.1041199984760901</v>
      </c>
      <c r="Z35" s="10">
        <v>-1.0916951824749701</v>
      </c>
      <c r="AA35" s="10">
        <v>-1.17977666107752</v>
      </c>
      <c r="AB35" s="10">
        <v>-1.16332037040879</v>
      </c>
      <c r="AC35" s="10">
        <v>-1.2039728043259399</v>
      </c>
      <c r="AD35" s="10">
        <v>-1.2039728043259399</v>
      </c>
      <c r="AE35" s="10">
        <v>-1.1749192459876301</v>
      </c>
      <c r="AF35" s="11">
        <v>-1.1894954950701599</v>
      </c>
    </row>
    <row r="36" spans="1:32" x14ac:dyDescent="0.35">
      <c r="A36" s="2" t="s">
        <v>34</v>
      </c>
      <c r="B36" s="5">
        <v>73</v>
      </c>
      <c r="C36" s="5">
        <v>13</v>
      </c>
      <c r="D36" s="5">
        <v>118</v>
      </c>
      <c r="E36" s="5">
        <v>26</v>
      </c>
      <c r="F36" s="5">
        <f>65-30</f>
        <v>35</v>
      </c>
      <c r="G36" s="5">
        <v>152</v>
      </c>
      <c r="H36" s="5">
        <v>80</v>
      </c>
      <c r="I36" s="8">
        <v>0.51979234224333304</v>
      </c>
      <c r="J36" s="8">
        <v>0.52349919329958905</v>
      </c>
      <c r="K36" s="8">
        <v>0.62687050753861395</v>
      </c>
      <c r="L36" s="8">
        <v>0.626683389340841</v>
      </c>
      <c r="M36" s="8">
        <v>8.2238846878716396E-2</v>
      </c>
      <c r="N36" s="8">
        <v>8.1290535654180901E-2</v>
      </c>
      <c r="O36" s="8">
        <v>0.30272028299054698</v>
      </c>
      <c r="P36" s="8">
        <v>0.30412112495732702</v>
      </c>
      <c r="Q36" s="8">
        <v>0.91842071007207704</v>
      </c>
      <c r="R36" s="8">
        <v>0.96048740836574997</v>
      </c>
      <c r="S36" s="8">
        <v>0.90502106076148203</v>
      </c>
      <c r="T36" s="8">
        <v>0.88164594911634198</v>
      </c>
      <c r="U36" s="8">
        <v>5.88528487101471E-2</v>
      </c>
      <c r="V36" s="8">
        <v>9.99520258627523E-2</v>
      </c>
      <c r="W36" s="8">
        <v>1.56033646235194</v>
      </c>
      <c r="X36" s="8">
        <v>1.56418797959392</v>
      </c>
      <c r="Y36" s="8">
        <v>-1.0754584087515799</v>
      </c>
      <c r="Z36" s="8">
        <v>-1.13102932008791</v>
      </c>
      <c r="AA36" s="8">
        <v>-1.1795240792374</v>
      </c>
      <c r="AB36" s="8">
        <v>-1.1018678399960999</v>
      </c>
      <c r="AC36" s="8">
        <v>-1.2039728043259399</v>
      </c>
      <c r="AD36" s="8">
        <v>-1.2039728043259399</v>
      </c>
      <c r="AE36" s="8">
        <v>-1.1925353340710001</v>
      </c>
      <c r="AF36" s="9">
        <v>-1.1970155765449599</v>
      </c>
    </row>
    <row r="37" spans="1:32" x14ac:dyDescent="0.35">
      <c r="A37" s="3" t="s">
        <v>35</v>
      </c>
      <c r="B37" s="5">
        <v>66</v>
      </c>
      <c r="C37" s="5">
        <v>13</v>
      </c>
      <c r="D37" s="5">
        <v>126</v>
      </c>
      <c r="E37" s="5">
        <v>28</v>
      </c>
      <c r="F37" s="5">
        <v>33</v>
      </c>
      <c r="G37" s="5"/>
      <c r="H37" s="5"/>
      <c r="I37" s="10">
        <v>0.51141375990201898</v>
      </c>
      <c r="J37" s="10">
        <v>0.51805686662953299</v>
      </c>
      <c r="K37" s="10">
        <v>0.62262493961822596</v>
      </c>
      <c r="L37" s="10">
        <v>0.61956664649740301</v>
      </c>
      <c r="M37" s="10">
        <v>7.6330383614017297E-2</v>
      </c>
      <c r="N37" s="10">
        <v>8.0979974067884E-2</v>
      </c>
      <c r="O37" s="10">
        <v>0.32210554521440399</v>
      </c>
      <c r="P37" s="10">
        <v>0.33088471392423302</v>
      </c>
      <c r="Q37" s="10">
        <v>0.96251461015223205</v>
      </c>
      <c r="R37" s="10">
        <v>0.90423459155531305</v>
      </c>
      <c r="S37" s="10">
        <v>0.879365993715297</v>
      </c>
      <c r="T37" s="10">
        <v>0.86537672625123496</v>
      </c>
      <c r="U37" s="10">
        <v>0.177022872751777</v>
      </c>
      <c r="V37" s="10">
        <v>0.153466305679619</v>
      </c>
      <c r="W37" s="10">
        <v>1.55012604057626</v>
      </c>
      <c r="X37" s="10">
        <v>1.52060474568388</v>
      </c>
      <c r="Y37" s="10">
        <v>-1.06952358661709</v>
      </c>
      <c r="Z37" s="10">
        <v>-1.0748372619759901</v>
      </c>
      <c r="AA37" s="10">
        <v>-1.18489953647656</v>
      </c>
      <c r="AB37" s="10">
        <v>-1.1873809909009501</v>
      </c>
      <c r="AC37" s="10">
        <v>-1.2039728043259399</v>
      </c>
      <c r="AD37" s="10">
        <v>-1.2039728043259399</v>
      </c>
      <c r="AE37" s="10">
        <v>-1.16409171565651</v>
      </c>
      <c r="AF37" s="11">
        <v>-1.16926204525523</v>
      </c>
    </row>
    <row r="38" spans="1:32" x14ac:dyDescent="0.35">
      <c r="A38" s="2" t="s">
        <v>36</v>
      </c>
      <c r="B38" s="5">
        <v>69</v>
      </c>
      <c r="C38" s="5">
        <v>13</v>
      </c>
      <c r="D38" s="5">
        <v>137</v>
      </c>
      <c r="E38" s="5">
        <v>27</v>
      </c>
      <c r="F38" s="5">
        <f>67-40</f>
        <v>27</v>
      </c>
      <c r="G38" s="5">
        <v>169</v>
      </c>
      <c r="H38" s="5">
        <v>36</v>
      </c>
      <c r="I38" s="8">
        <v>0.51398878882693499</v>
      </c>
      <c r="J38" s="8">
        <v>0.514673545238857</v>
      </c>
      <c r="K38" s="8">
        <v>0.62531466900229904</v>
      </c>
      <c r="L38" s="8">
        <v>0.62306958293139802</v>
      </c>
      <c r="M38" s="8">
        <v>8.9700393549712196E-2</v>
      </c>
      <c r="N38" s="8">
        <v>8.8163532427548694E-2</v>
      </c>
      <c r="O38" s="8">
        <v>0.30988533192407902</v>
      </c>
      <c r="P38" s="8">
        <v>0.31506939933547901</v>
      </c>
      <c r="Q38" s="8">
        <v>0.95124053850988499</v>
      </c>
      <c r="R38" s="8">
        <v>0.93379651933627505</v>
      </c>
      <c r="S38" s="8">
        <v>0.89438079147431904</v>
      </c>
      <c r="T38" s="8">
        <v>0.88058569360290395</v>
      </c>
      <c r="U38" s="8">
        <v>0.17266053809783699</v>
      </c>
      <c r="V38" s="8">
        <v>0.335958472317057</v>
      </c>
      <c r="W38" s="8">
        <v>1.55458092428934</v>
      </c>
      <c r="X38" s="8">
        <v>1.4462433135714201</v>
      </c>
      <c r="Y38" s="8">
        <v>-1.13324101437337</v>
      </c>
      <c r="Z38" s="8">
        <v>-1.15934243847268</v>
      </c>
      <c r="AA38" s="8">
        <v>-1.1720902749809201</v>
      </c>
      <c r="AB38" s="8">
        <v>-1.17613008469284</v>
      </c>
      <c r="AC38" s="8">
        <v>-1.2039728043259399</v>
      </c>
      <c r="AD38" s="8">
        <v>-1.2039728043259399</v>
      </c>
      <c r="AE38" s="8">
        <v>-1.18702279896299</v>
      </c>
      <c r="AF38" s="9">
        <v>-1.1713264845701801</v>
      </c>
    </row>
    <row r="39" spans="1:32" x14ac:dyDescent="0.35">
      <c r="A39" s="3" t="s">
        <v>37</v>
      </c>
      <c r="B39" s="5">
        <v>66</v>
      </c>
      <c r="C39" s="5">
        <v>13</v>
      </c>
      <c r="D39" s="5">
        <v>126</v>
      </c>
      <c r="E39" s="5">
        <v>26</v>
      </c>
      <c r="F39" s="5">
        <f t="shared" ref="F39:F40" si="2">E39-D39</f>
        <v>-100</v>
      </c>
      <c r="G39" s="5"/>
      <c r="H39" s="5">
        <v>114</v>
      </c>
      <c r="I39" s="10">
        <v>0.48220284961933702</v>
      </c>
      <c r="J39" s="10">
        <v>0.47182053189592099</v>
      </c>
      <c r="K39" s="10">
        <v>0.62227986618409104</v>
      </c>
      <c r="L39" s="10">
        <v>0.61806471713636701</v>
      </c>
      <c r="M39" s="10">
        <v>9.2441800066542804E-2</v>
      </c>
      <c r="N39" s="10">
        <v>0.102978153727983</v>
      </c>
      <c r="O39" s="10">
        <v>0.40400975973701803</v>
      </c>
      <c r="P39" s="10">
        <v>0.40238763525310101</v>
      </c>
      <c r="Q39" s="10">
        <v>0.82538524629999299</v>
      </c>
      <c r="R39" s="10">
        <v>0.78628251378796399</v>
      </c>
      <c r="S39" s="10">
        <v>0.851210420364376</v>
      </c>
      <c r="T39" s="10">
        <v>0.83781690868524095</v>
      </c>
      <c r="U39" s="10">
        <v>0.104462978947565</v>
      </c>
      <c r="V39" s="10">
        <v>0.30130084677063301</v>
      </c>
      <c r="W39" s="10">
        <v>1.54186116805622</v>
      </c>
      <c r="X39" s="10">
        <v>1.4719766159497401</v>
      </c>
      <c r="Y39" s="10">
        <v>-1.0069946287738001</v>
      </c>
      <c r="Z39" s="10">
        <v>-1.0998923065314601</v>
      </c>
      <c r="AA39" s="10">
        <v>-1.18421177993115</v>
      </c>
      <c r="AB39" s="10">
        <v>-1.18803830382918</v>
      </c>
      <c r="AC39" s="10">
        <v>-1.2039728043259399</v>
      </c>
      <c r="AD39" s="10">
        <v>-1.2039728043259399</v>
      </c>
      <c r="AE39" s="10">
        <v>-1.06705890894748</v>
      </c>
      <c r="AF39" s="11">
        <v>-1.13778048008219</v>
      </c>
    </row>
    <row r="40" spans="1:32" x14ac:dyDescent="0.35">
      <c r="A40" s="2" t="s">
        <v>38</v>
      </c>
      <c r="B40" s="5">
        <v>67</v>
      </c>
      <c r="C40" s="5">
        <v>18</v>
      </c>
      <c r="D40" s="5">
        <v>147</v>
      </c>
      <c r="E40" s="5">
        <v>29</v>
      </c>
      <c r="F40" s="5">
        <f t="shared" si="2"/>
        <v>-118</v>
      </c>
      <c r="G40" s="5">
        <v>141</v>
      </c>
      <c r="H40" s="5">
        <v>66</v>
      </c>
      <c r="I40" s="8">
        <v>0.51041523921118903</v>
      </c>
      <c r="J40" s="8">
        <v>0.509264630384068</v>
      </c>
      <c r="K40" s="8">
        <v>0.62830591058667096</v>
      </c>
      <c r="L40" s="8">
        <v>0.62370954569776504</v>
      </c>
      <c r="M40" s="8">
        <v>7.4137060306296104E-2</v>
      </c>
      <c r="N40" s="8">
        <v>7.2629166833146103E-2</v>
      </c>
      <c r="O40" s="8">
        <v>0.31660036258019097</v>
      </c>
      <c r="P40" s="8">
        <v>0.32744321131332499</v>
      </c>
      <c r="Q40" s="8">
        <v>0.96999180081464897</v>
      </c>
      <c r="R40" s="8">
        <v>0.885151955127502</v>
      </c>
      <c r="S40" s="8">
        <v>0.88510038780663403</v>
      </c>
      <c r="T40" s="8">
        <v>0.88123519154501795</v>
      </c>
      <c r="U40" s="8">
        <v>4.1362818916798001E-2</v>
      </c>
      <c r="V40" s="8">
        <v>0</v>
      </c>
      <c r="W40" s="8">
        <v>1.4913209910820699</v>
      </c>
      <c r="X40" s="8">
        <v>1.58633692632528</v>
      </c>
      <c r="Y40" s="8">
        <v>-1.08902484586703</v>
      </c>
      <c r="Z40" s="8">
        <v>-0.98330832773224996</v>
      </c>
      <c r="AA40" s="8">
        <v>-1.1792472767084301</v>
      </c>
      <c r="AB40" s="8">
        <v>-1.16012389089115</v>
      </c>
      <c r="AC40" s="8">
        <v>-1.2039728043259399</v>
      </c>
      <c r="AD40" s="8">
        <v>-1.2039728043259399</v>
      </c>
      <c r="AE40" s="8">
        <v>-1.1653196572267699</v>
      </c>
      <c r="AF40" s="9">
        <v>-1.1676201592061599</v>
      </c>
    </row>
    <row r="41" spans="1:32" x14ac:dyDescent="0.35">
      <c r="A41" s="3" t="s">
        <v>39</v>
      </c>
      <c r="B41" s="5">
        <v>65</v>
      </c>
      <c r="C41" s="5">
        <v>15</v>
      </c>
      <c r="D41" s="5">
        <v>127</v>
      </c>
      <c r="E41" s="5">
        <v>23</v>
      </c>
      <c r="F41" s="5">
        <v>53</v>
      </c>
      <c r="G41" s="5">
        <v>76</v>
      </c>
      <c r="H41" s="5">
        <v>101</v>
      </c>
      <c r="I41" s="10">
        <v>0.50472262423626002</v>
      </c>
      <c r="J41" s="10">
        <v>0.51790356664669601</v>
      </c>
      <c r="K41" s="10">
        <v>0.62713769261782204</v>
      </c>
      <c r="L41" s="10">
        <v>0.62581455980101297</v>
      </c>
      <c r="M41" s="10">
        <v>7.9018433073892502E-2</v>
      </c>
      <c r="N41" s="10">
        <v>7.2811740867167907E-2</v>
      </c>
      <c r="O41" s="10">
        <v>0.27574911981196398</v>
      </c>
      <c r="P41" s="10">
        <v>0.28253130535638099</v>
      </c>
      <c r="Q41" s="10">
        <v>0.87799372783623297</v>
      </c>
      <c r="R41" s="10">
        <v>0.86839408740067703</v>
      </c>
      <c r="S41" s="10">
        <v>0.88081458272211499</v>
      </c>
      <c r="T41" s="10">
        <v>0.876351160118089</v>
      </c>
      <c r="U41" s="10">
        <v>8.20521629415428E-2</v>
      </c>
      <c r="V41" s="10">
        <v>1.43170426855337E-2</v>
      </c>
      <c r="W41" s="10">
        <v>1.5718380201561599</v>
      </c>
      <c r="X41" s="10">
        <v>1.46818967782288</v>
      </c>
      <c r="Y41" s="10">
        <v>-1.0702784710025099</v>
      </c>
      <c r="Z41" s="10">
        <v>-1.0778750167596101</v>
      </c>
      <c r="AA41" s="10">
        <v>-1.15281941085704</v>
      </c>
      <c r="AB41" s="10">
        <v>-1.14717085803937</v>
      </c>
      <c r="AC41" s="10">
        <v>-1.2039728043259399</v>
      </c>
      <c r="AD41" s="10">
        <v>-1.2039728043259399</v>
      </c>
      <c r="AE41" s="10">
        <v>-1.2020106127783901</v>
      </c>
      <c r="AF41" s="11">
        <v>-1.1988599615662501</v>
      </c>
    </row>
    <row r="42" spans="1:32" x14ac:dyDescent="0.35">
      <c r="A42" s="2" t="s">
        <v>40</v>
      </c>
      <c r="B42" s="5">
        <v>71</v>
      </c>
      <c r="C42" s="5">
        <v>8</v>
      </c>
      <c r="D42" s="5">
        <v>108</v>
      </c>
      <c r="E42" s="5">
        <v>26</v>
      </c>
      <c r="F42" s="5">
        <f t="shared" ref="F42:F44" si="3">E42-D42</f>
        <v>-82</v>
      </c>
      <c r="G42" s="5">
        <v>117</v>
      </c>
      <c r="H42" s="5">
        <v>79</v>
      </c>
      <c r="I42" s="8">
        <v>0.51256666258115802</v>
      </c>
      <c r="J42" s="8">
        <v>0.51264575208729701</v>
      </c>
      <c r="K42" s="8">
        <v>0.62517308813789096</v>
      </c>
      <c r="L42" s="8">
        <v>0.62786458523726096</v>
      </c>
      <c r="M42" s="8">
        <v>8.3893098232581204E-2</v>
      </c>
      <c r="N42" s="8">
        <v>7.6806071112373003E-2</v>
      </c>
      <c r="O42" s="8">
        <v>0.32310738521168503</v>
      </c>
      <c r="P42" s="8">
        <v>0.33217560711114902</v>
      </c>
      <c r="Q42" s="8">
        <v>0.96300443679362002</v>
      </c>
      <c r="R42" s="8">
        <v>0.93196260341823001</v>
      </c>
      <c r="S42" s="8">
        <v>0.90857236039918599</v>
      </c>
      <c r="T42" s="8">
        <v>0.91710838941971395</v>
      </c>
      <c r="U42" s="8">
        <v>0.11523289385317299</v>
      </c>
      <c r="V42" s="8">
        <v>4.68083167742811E-2</v>
      </c>
      <c r="W42" s="8">
        <v>1.51653537950652</v>
      </c>
      <c r="X42" s="8">
        <v>1.52064583652888</v>
      </c>
      <c r="Y42" s="8">
        <v>-1.1181091221822399</v>
      </c>
      <c r="Z42" s="8">
        <v>-1.0835805359214199</v>
      </c>
      <c r="AA42" s="8">
        <v>-1.1835750155656499</v>
      </c>
      <c r="AB42" s="8">
        <v>-1.18024271780072</v>
      </c>
      <c r="AC42" s="8">
        <v>-1.2039728043259399</v>
      </c>
      <c r="AD42" s="8">
        <v>-1.2039728043259399</v>
      </c>
      <c r="AE42" s="8">
        <v>-1.1897439098778999</v>
      </c>
      <c r="AF42" s="9">
        <v>-1.15760712124122</v>
      </c>
    </row>
    <row r="43" spans="1:32" x14ac:dyDescent="0.35">
      <c r="A43" s="3" t="s">
        <v>41</v>
      </c>
      <c r="B43" s="5">
        <v>68</v>
      </c>
      <c r="C43" s="5">
        <v>13</v>
      </c>
      <c r="D43" s="5">
        <v>111</v>
      </c>
      <c r="E43" s="5">
        <v>28</v>
      </c>
      <c r="F43" s="5">
        <f t="shared" si="3"/>
        <v>-83</v>
      </c>
      <c r="G43" s="5">
        <v>74</v>
      </c>
      <c r="H43" s="5">
        <v>59</v>
      </c>
      <c r="I43" s="10">
        <v>0.50468989574892398</v>
      </c>
      <c r="J43" s="10">
        <v>0.50530107574947203</v>
      </c>
      <c r="K43" s="10">
        <v>0.62374957006351195</v>
      </c>
      <c r="L43" s="10">
        <v>0.62129516610327995</v>
      </c>
      <c r="M43" s="10">
        <v>8.0205797405120405E-2</v>
      </c>
      <c r="N43" s="10">
        <v>8.1952416648216994E-2</v>
      </c>
      <c r="O43" s="10">
        <v>0.33052872200918698</v>
      </c>
      <c r="P43" s="10">
        <v>0.32574681233498398</v>
      </c>
      <c r="Q43" s="10">
        <v>1.00317547775407</v>
      </c>
      <c r="R43" s="10">
        <v>0.96711721302345</v>
      </c>
      <c r="S43" s="10">
        <v>0.88261057367845197</v>
      </c>
      <c r="T43" s="10">
        <v>0.82769028190323002</v>
      </c>
      <c r="U43" s="10">
        <v>1.28360588992582E-2</v>
      </c>
      <c r="V43" s="10">
        <v>2.1660849392498301E-2</v>
      </c>
      <c r="W43" s="10">
        <v>1.52789755637848</v>
      </c>
      <c r="X43" s="10">
        <v>1.6077375821312201</v>
      </c>
      <c r="Y43" s="10">
        <v>-1.1226544257634801</v>
      </c>
      <c r="Z43" s="10">
        <v>-1.14171994850365</v>
      </c>
      <c r="AA43" s="10">
        <v>-1.1660646067131899</v>
      </c>
      <c r="AB43" s="10">
        <v>-1.1406155758390599</v>
      </c>
      <c r="AC43" s="10">
        <v>-1.2039728043259399</v>
      </c>
      <c r="AD43" s="10">
        <v>-1.2039728043259399</v>
      </c>
      <c r="AE43" s="10">
        <v>-1.18439267499941</v>
      </c>
      <c r="AF43" s="11">
        <v>-1.1830315018919799</v>
      </c>
    </row>
    <row r="44" spans="1:32" x14ac:dyDescent="0.35">
      <c r="A44" s="2" t="s">
        <v>42</v>
      </c>
      <c r="B44" s="5">
        <v>74</v>
      </c>
      <c r="C44" s="5">
        <v>8</v>
      </c>
      <c r="D44" s="5">
        <v>109</v>
      </c>
      <c r="E44" s="5">
        <v>26</v>
      </c>
      <c r="F44" s="5">
        <f t="shared" si="3"/>
        <v>-83</v>
      </c>
      <c r="G44" s="5"/>
      <c r="H44" s="5"/>
      <c r="I44" s="8">
        <v>0.50538741070154602</v>
      </c>
      <c r="J44" s="8">
        <v>0.51073741710676601</v>
      </c>
      <c r="K44" s="8">
        <v>0.62848279863482703</v>
      </c>
      <c r="L44" s="8">
        <v>0.629523844205229</v>
      </c>
      <c r="M44" s="8">
        <v>7.3854144432717705E-2</v>
      </c>
      <c r="N44" s="8">
        <v>7.9448384257360199E-2</v>
      </c>
      <c r="O44" s="8">
        <v>0.31795350464528899</v>
      </c>
      <c r="P44" s="8">
        <v>0.30252874877678498</v>
      </c>
      <c r="Q44" s="8">
        <v>0.95302504829888302</v>
      </c>
      <c r="R44" s="8">
        <v>0.92971170900134803</v>
      </c>
      <c r="S44" s="8">
        <v>0.92158417567185802</v>
      </c>
      <c r="T44" s="8">
        <v>0.90562825815174397</v>
      </c>
      <c r="U44" s="8">
        <v>5.0149077798189098E-2</v>
      </c>
      <c r="V44" s="8">
        <v>0.125861839559682</v>
      </c>
      <c r="W44" s="8">
        <v>1.53850794402533</v>
      </c>
      <c r="X44" s="8">
        <v>1.5526227304814399</v>
      </c>
      <c r="Y44" s="8">
        <v>-1.11787252467478</v>
      </c>
      <c r="Z44" s="8">
        <v>-1.07710907199031</v>
      </c>
      <c r="AA44" s="8">
        <v>-1.1635133052262101</v>
      </c>
      <c r="AB44" s="8">
        <v>-1.1454683678986199</v>
      </c>
      <c r="AC44" s="8">
        <v>-1.2039728043259399</v>
      </c>
      <c r="AD44" s="8">
        <v>-1.2039728043259399</v>
      </c>
      <c r="AE44" s="8">
        <v>-1.18197920528801</v>
      </c>
      <c r="AF44" s="9">
        <v>-1.18934846553213</v>
      </c>
    </row>
    <row r="45" spans="1:32" x14ac:dyDescent="0.35">
      <c r="A45" s="3" t="s">
        <v>43</v>
      </c>
      <c r="B45" s="5">
        <v>70</v>
      </c>
      <c r="C45" s="5">
        <v>17</v>
      </c>
      <c r="D45" s="5">
        <v>129</v>
      </c>
      <c r="E45" s="5">
        <v>25</v>
      </c>
      <c r="F45" s="5">
        <v>91</v>
      </c>
      <c r="G45" s="5">
        <v>102</v>
      </c>
      <c r="H45" s="5">
        <v>81</v>
      </c>
      <c r="I45" s="10">
        <v>0.51167369887553804</v>
      </c>
      <c r="J45" s="10">
        <v>0.51403941420742205</v>
      </c>
      <c r="K45" s="10">
        <v>0.62726081797385203</v>
      </c>
      <c r="L45" s="10">
        <v>0.62585309373638698</v>
      </c>
      <c r="M45" s="10">
        <v>6.2103050459665597E-2</v>
      </c>
      <c r="N45" s="10">
        <v>6.58206020956566E-2</v>
      </c>
      <c r="O45" s="10">
        <v>0.33074723118751598</v>
      </c>
      <c r="P45" s="10">
        <v>0.34118330629086402</v>
      </c>
      <c r="Q45" s="10">
        <v>0.97068662755178003</v>
      </c>
      <c r="R45" s="10">
        <v>0.93314978056631503</v>
      </c>
      <c r="S45" s="10">
        <v>0.91004395324412901</v>
      </c>
      <c r="T45" s="10">
        <v>0.90701343619979502</v>
      </c>
      <c r="U45" s="10">
        <v>2.0344672012372399E-2</v>
      </c>
      <c r="V45" s="10">
        <v>1.08304246962491E-2</v>
      </c>
      <c r="W45" s="10">
        <v>1.56463788526389</v>
      </c>
      <c r="X45" s="10">
        <v>1.5118649989078501</v>
      </c>
      <c r="Y45" s="10">
        <v>-1.12114732947957</v>
      </c>
      <c r="Z45" s="10">
        <v>-1.09887050431449</v>
      </c>
      <c r="AA45" s="10">
        <v>-1.1408773928556299</v>
      </c>
      <c r="AB45" s="10">
        <v>-1.1658965171926201</v>
      </c>
      <c r="AC45" s="10">
        <v>-1.2039728043259399</v>
      </c>
      <c r="AD45" s="10">
        <v>-1.2039728043259399</v>
      </c>
      <c r="AE45" s="10">
        <v>-1.17315482221964</v>
      </c>
      <c r="AF45" s="11">
        <v>-1.1852869938783099</v>
      </c>
    </row>
    <row r="46" spans="1:32" x14ac:dyDescent="0.35">
      <c r="A46" s="4" t="s">
        <v>44</v>
      </c>
      <c r="B46" s="5">
        <v>78</v>
      </c>
      <c r="C46" s="5">
        <v>18</v>
      </c>
      <c r="D46" s="5">
        <v>138</v>
      </c>
      <c r="E46" s="5">
        <v>19</v>
      </c>
      <c r="F46" s="5">
        <v>48</v>
      </c>
      <c r="G46" s="5"/>
      <c r="H46" s="5"/>
      <c r="I46" s="12">
        <v>0.48766889261553398</v>
      </c>
      <c r="J46" s="12">
        <v>0.48259072868792602</v>
      </c>
      <c r="K46" s="12">
        <v>0.62425159942729302</v>
      </c>
      <c r="L46" s="12">
        <v>0.62246296900083897</v>
      </c>
      <c r="M46" s="12">
        <v>6.0215068828843303E-2</v>
      </c>
      <c r="N46" s="12">
        <v>6.4636277804625997E-2</v>
      </c>
      <c r="O46" s="12">
        <v>0.370965493453214</v>
      </c>
      <c r="P46" s="12">
        <v>0.38767491243643498</v>
      </c>
      <c r="Q46" s="12">
        <v>0.88388854577474096</v>
      </c>
      <c r="R46" s="12">
        <v>0.86370549594739199</v>
      </c>
      <c r="S46" s="12">
        <v>0.86706856159660595</v>
      </c>
      <c r="T46" s="12">
        <v>0.84850855294382999</v>
      </c>
      <c r="U46" s="12">
        <v>0</v>
      </c>
      <c r="V46" s="12">
        <v>5.4152123481245699E-2</v>
      </c>
      <c r="W46" s="12">
        <v>1.4815339033995401</v>
      </c>
      <c r="X46" s="12">
        <v>1.4664733422435701</v>
      </c>
      <c r="Y46" s="12">
        <v>-1.09267368626909</v>
      </c>
      <c r="Z46" s="12">
        <v>-1.1298323270570301</v>
      </c>
      <c r="AA46" s="12">
        <v>-1.1461512436852701</v>
      </c>
      <c r="AB46" s="12">
        <v>-1.1409791670381499</v>
      </c>
      <c r="AC46" s="12">
        <v>-1.2039728043259399</v>
      </c>
      <c r="AD46" s="12">
        <v>-1.2039728043259399</v>
      </c>
      <c r="AE46" s="12">
        <v>-1.14886436968342</v>
      </c>
      <c r="AF46" s="13">
        <v>-1.1380140425062699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Napoli</dc:creator>
  <cp:lastModifiedBy>Ettore Napoli</cp:lastModifiedBy>
  <dcterms:created xsi:type="dcterms:W3CDTF">2026-04-11T15:53:22Z</dcterms:created>
  <dcterms:modified xsi:type="dcterms:W3CDTF">2026-04-11T16:12:15Z</dcterms:modified>
</cp:coreProperties>
</file>